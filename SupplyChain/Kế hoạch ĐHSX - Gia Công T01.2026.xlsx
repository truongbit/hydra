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Đỗ Quang Huy\My Job\Năm 2026\Khách Hàng Gia Công\Kế hoạch đặt hàng SX Gia Công\"/>
    </mc:Choice>
  </mc:AlternateContent>
  <xr:revisionPtr revIDLastSave="0" documentId="13_ncr:1_{8E91A28C-990D-4117-A473-C044B2416A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11" sheetId="1" r:id="rId1"/>
    <sheet name="T12" sheetId="2" r:id="rId2"/>
    <sheet name="T01" sheetId="3" r:id="rId3"/>
  </sheets>
  <definedNames>
    <definedName name="_xlnm._FilterDatabase" localSheetId="2" hidden="1">'T01'!$A$1:$F$44</definedName>
    <definedName name="_xlnm._FilterDatabase" localSheetId="0" hidden="1">'T11'!$A$1:$F$43</definedName>
    <definedName name="_xlnm._FilterDatabase" localSheetId="1" hidden="1">'T12'!$A$1:$F$44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3" l="1"/>
  <c r="I46" i="3"/>
  <c r="H46" i="3"/>
  <c r="G46" i="3"/>
  <c r="F46" i="3"/>
  <c r="E46" i="3"/>
  <c r="M44" i="3"/>
  <c r="L44" i="3"/>
  <c r="J44" i="3"/>
  <c r="J43" i="3"/>
  <c r="J42" i="3"/>
  <c r="J41" i="3"/>
  <c r="M40" i="3"/>
  <c r="L40" i="3"/>
  <c r="J40" i="3"/>
  <c r="M39" i="3"/>
  <c r="L39" i="3"/>
  <c r="J39" i="3"/>
  <c r="J38" i="3"/>
  <c r="J37" i="3"/>
  <c r="J36" i="3"/>
  <c r="J35" i="3"/>
  <c r="J34" i="3"/>
  <c r="J33" i="3"/>
  <c r="J32" i="3"/>
  <c r="M31" i="3"/>
  <c r="L31" i="3"/>
  <c r="L46" i="3" s="1"/>
  <c r="J31" i="3"/>
  <c r="J30" i="3"/>
  <c r="J29" i="3"/>
  <c r="J28" i="3"/>
  <c r="J26" i="3"/>
  <c r="J25" i="3"/>
  <c r="J24" i="3"/>
  <c r="J23" i="3"/>
  <c r="J22" i="3"/>
  <c r="J21" i="3"/>
  <c r="J20" i="3"/>
  <c r="J19" i="3"/>
  <c r="J18" i="3"/>
  <c r="J17" i="3"/>
  <c r="M16" i="3"/>
  <c r="L16" i="3"/>
  <c r="J16" i="3"/>
  <c r="M15" i="3"/>
  <c r="L15" i="3"/>
  <c r="J15" i="3"/>
  <c r="M14" i="3"/>
  <c r="L14" i="3"/>
  <c r="J14" i="3"/>
  <c r="M13" i="3"/>
  <c r="L13" i="3"/>
  <c r="J13" i="3"/>
  <c r="M12" i="3"/>
  <c r="L12" i="3"/>
  <c r="J12" i="3"/>
  <c r="M11" i="3"/>
  <c r="L11" i="3"/>
  <c r="J11" i="3"/>
  <c r="M10" i="3"/>
  <c r="L10" i="3"/>
  <c r="J10" i="3"/>
  <c r="M9" i="3"/>
  <c r="L9" i="3"/>
  <c r="J9" i="3"/>
  <c r="J8" i="3"/>
  <c r="M7" i="3"/>
  <c r="L7" i="3"/>
  <c r="J7" i="3"/>
  <c r="J6" i="3"/>
  <c r="J5" i="3"/>
  <c r="L4" i="3"/>
  <c r="J4" i="3"/>
  <c r="L3" i="3"/>
  <c r="J3" i="3"/>
  <c r="J30" i="2"/>
  <c r="I46" i="2"/>
  <c r="H46" i="2"/>
  <c r="G46" i="2"/>
  <c r="F46" i="2"/>
  <c r="E46" i="2"/>
  <c r="J46" i="3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" i="2"/>
  <c r="K46" i="2"/>
  <c r="M44" i="2"/>
  <c r="L44" i="2"/>
  <c r="M40" i="2"/>
  <c r="L40" i="2"/>
  <c r="M39" i="2"/>
  <c r="L39" i="2"/>
  <c r="M31" i="2"/>
  <c r="L31" i="2"/>
  <c r="L46" i="2" s="1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8" i="2"/>
  <c r="L8" i="2"/>
  <c r="L5" i="2"/>
  <c r="L29" i="1"/>
  <c r="L26" i="1"/>
  <c r="L25" i="1"/>
  <c r="L28" i="1"/>
  <c r="L7" i="1"/>
  <c r="L6" i="1"/>
  <c r="F45" i="1"/>
  <c r="G45" i="1"/>
  <c r="H45" i="1"/>
  <c r="I45" i="1"/>
  <c r="J45" i="1"/>
  <c r="K45" i="1"/>
  <c r="E45" i="1"/>
  <c r="L40" i="1"/>
  <c r="L41" i="1"/>
  <c r="L42" i="1"/>
  <c r="L43" i="1"/>
  <c r="L18" i="1"/>
  <c r="L19" i="1"/>
  <c r="L20" i="1"/>
  <c r="L21" i="1"/>
  <c r="L22" i="1"/>
  <c r="L23" i="1"/>
  <c r="L24" i="1"/>
  <c r="L27" i="1"/>
  <c r="J46" i="2" l="1"/>
  <c r="L4" i="2"/>
  <c r="L33" i="1"/>
  <c r="L34" i="1"/>
  <c r="L35" i="1"/>
  <c r="L36" i="1"/>
  <c r="L37" i="1"/>
  <c r="L38" i="1"/>
  <c r="L39" i="1"/>
  <c r="L32" i="1"/>
  <c r="L9" i="1" l="1"/>
  <c r="L10" i="1"/>
  <c r="L11" i="1"/>
  <c r="L12" i="1"/>
  <c r="L13" i="1"/>
  <c r="L14" i="1"/>
  <c r="L15" i="1"/>
  <c r="L16" i="1"/>
  <c r="L17" i="1"/>
  <c r="L30" i="1"/>
  <c r="L31" i="1"/>
  <c r="L8" i="1"/>
  <c r="L5" i="1"/>
  <c r="L4" i="1"/>
  <c r="J4" i="1"/>
  <c r="J5" i="1"/>
  <c r="N30" i="1"/>
  <c r="L45" i="1" l="1"/>
  <c r="K4" i="1"/>
  <c r="K5" i="1"/>
  <c r="O38" i="1" l="1"/>
  <c r="O11" i="1"/>
  <c r="O10" i="1"/>
  <c r="O43" i="1"/>
  <c r="O17" i="1"/>
  <c r="O13" i="1"/>
  <c r="O15" i="1"/>
  <c r="O30" i="1"/>
  <c r="O14" i="1"/>
  <c r="O39" i="1"/>
  <c r="N39" i="1"/>
  <c r="O16" i="1"/>
  <c r="O12" i="1"/>
  <c r="O8" i="1"/>
  <c r="M45" i="1"/>
  <c r="N5" i="1"/>
  <c r="N4" i="1"/>
  <c r="N17" i="1"/>
  <c r="N16" i="1"/>
  <c r="N15" i="1"/>
  <c r="N14" i="1"/>
  <c r="N13" i="1"/>
  <c r="N12" i="1"/>
  <c r="N11" i="1"/>
  <c r="N10" i="1"/>
  <c r="N8" i="1"/>
  <c r="N38" i="1"/>
  <c r="N43" i="1"/>
  <c r="N45" i="1" l="1"/>
</calcChain>
</file>

<file path=xl/sharedStrings.xml><?xml version="1.0" encoding="utf-8"?>
<sst xmlns="http://schemas.openxmlformats.org/spreadsheetml/2006/main" count="154" uniqueCount="51">
  <si>
    <t>110B</t>
  </si>
  <si>
    <t>180B</t>
  </si>
  <si>
    <t>SCA</t>
  </si>
  <si>
    <t>Sản phẩm</t>
  </si>
  <si>
    <t>Tổng</t>
  </si>
  <si>
    <t>KẾ HOẠCH ĐẶT HÀNG SẢN XUẤT THÁNG 11/2025 - Gia Công</t>
  </si>
  <si>
    <t>Tuần 1
(từ 01-07/11)</t>
  </si>
  <si>
    <t>Tuần 2
(từ 08-14/11)</t>
  </si>
  <si>
    <t>Tuần 3
(từ 15-21/01)</t>
  </si>
  <si>
    <t>Tuần 4
(từ 21-28/11)</t>
  </si>
  <si>
    <t>BVM - SCA Nha Đam 100g</t>
  </si>
  <si>
    <t>BVM - SCA Có Đường 70g</t>
  </si>
  <si>
    <t>BVM - Sữa Có Đường 110ml</t>
  </si>
  <si>
    <t>BVM - Sữa Có Đường 180ml</t>
  </si>
  <si>
    <t>AT - Sữa pha sẵn 110ml</t>
  </si>
  <si>
    <t>BLT - Công thức 1</t>
  </si>
  <si>
    <t>BLT - Công thức 2</t>
  </si>
  <si>
    <t>BLT - Công thức 3</t>
  </si>
  <si>
    <t>BLT - Dâu</t>
  </si>
  <si>
    <t>BLT - Cam</t>
  </si>
  <si>
    <t>BLT - công thức 8</t>
  </si>
  <si>
    <t>BLT Sữa Tươi Ít Đường</t>
  </si>
  <si>
    <t>BLT Sữa Tươi Có Đường</t>
  </si>
  <si>
    <t>Dược HN - Sữa Tiệt Trùng</t>
  </si>
  <si>
    <t>Dược HN - Sữa Pha Sẵn</t>
  </si>
  <si>
    <t>Fidimilk - CT2</t>
  </si>
  <si>
    <t>Fidimilk Dâu, Cam</t>
  </si>
  <si>
    <t>Hadu</t>
  </si>
  <si>
    <t>HAdu</t>
  </si>
  <si>
    <t>Medibest 180ml</t>
  </si>
  <si>
    <t>MEdibest 110ml</t>
  </si>
  <si>
    <t>NTT</t>
  </si>
  <si>
    <t>Nutriright - Sữa Tiệt Trùng</t>
  </si>
  <si>
    <t>Nutriright - Sữa Pha Sẵn</t>
  </si>
  <si>
    <t>Nutright Dâu, Cam</t>
  </si>
  <si>
    <t>AMM - Công thức 9</t>
  </si>
  <si>
    <t>AMM - Công thức 1</t>
  </si>
  <si>
    <t>KẾ HOẠCH ĐẶT HÀNG SẢN XUẤT THÁNG 12/2025 - Gia Công</t>
  </si>
  <si>
    <t>Tuần 1
(từ 29-05/12)</t>
  </si>
  <si>
    <t>Tuần 2
(từ 06-12/12)</t>
  </si>
  <si>
    <t>Tuần 5
(từ 27-31/12)</t>
  </si>
  <si>
    <t>Tuần 4
(từ 20-26/12)</t>
  </si>
  <si>
    <t>Tuần 3
(từ 13-19/12)</t>
  </si>
  <si>
    <t>Medibest 110ml</t>
  </si>
  <si>
    <t>An Sinh Milk</t>
  </si>
  <si>
    <t>KẾ HOẠCH ĐẶT HÀNG SẢN XUẤT THÁNG 01/2026
KHÁCH HÀNG GIA CÔNG</t>
  </si>
  <si>
    <t>Tuần 1
(từ 03-09/01)</t>
  </si>
  <si>
    <t>Tuần 2
(từ 10-16/01)</t>
  </si>
  <si>
    <t>Tuần 3
(từ 17-23/01)</t>
  </si>
  <si>
    <t>Tuần 4
(từ 24-30/01)</t>
  </si>
  <si>
    <t>Thanh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</si>
</sst>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164" fontId="1" fillId="0" borderId="0" xfId="1" applyNumberFormat="1" applyFont="1" applyAlignment="1">
      <alignment vertical="center" wrapText="1"/>
    </xf>
    <xf numFmtId="0" fontId="4" fillId="0" borderId="0" xfId="0" applyFont="1"/>
    <xf numFmtId="164" fontId="4" fillId="0" borderId="0" xfId="1" applyNumberFormat="1" applyFont="1"/>
    <xf numFmtId="164" fontId="2" fillId="0" borderId="0" xfId="1" applyNumberFormat="1" applyFont="1"/>
    <xf numFmtId="0" fontId="7" fillId="0" borderId="0" xfId="0" applyFont="1"/>
    <xf numFmtId="0" fontId="5" fillId="0" borderId="0" xfId="0" applyFont="1"/>
    <xf numFmtId="164" fontId="5" fillId="0" borderId="0" xfId="1" applyNumberFormat="1" applyFont="1"/>
    <xf numFmtId="164" fontId="5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164" fontId="11" fillId="0" borderId="1" xfId="1" applyNumberFormat="1" applyFont="1" applyBorder="1" applyAlignment="1">
      <alignment horizontal="center" wrapText="1"/>
    </xf>
    <xf numFmtId="164" fontId="10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wrapText="1"/>
    </xf>
    <xf numFmtId="164" fontId="2" fillId="0" borderId="0" xfId="0" applyNumberFormat="1" applyFont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23813</xdr:colOff>
      <xdr:row>0</xdr:row>
      <xdr:rowOff>47625</xdr:rowOff>
    </xdr:from>
    <xdr:to>
      <xdr:col>3</xdr:col>
      <xdr:colOff>747562</xdr:colOff>
      <xdr:row>0</xdr:row>
      <xdr:rowOff>407035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240A14-2C6A-4217-8217-30FEF7E5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7" y="47625"/>
          <a:ext cx="1461936" cy="359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23813</xdr:colOff>
      <xdr:row>0</xdr:row>
      <xdr:rowOff>47625</xdr:rowOff>
    </xdr:from>
    <xdr:to>
      <xdr:col>3</xdr:col>
      <xdr:colOff>747562</xdr:colOff>
      <xdr:row>0</xdr:row>
      <xdr:rowOff>407035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8BF24-D7AC-4220-8D6C-070AB3AD6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3" y="47625"/>
          <a:ext cx="1478129" cy="3594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23813</xdr:colOff>
      <xdr:row>0</xdr:row>
      <xdr:rowOff>47625</xdr:rowOff>
    </xdr:from>
    <xdr:to>
      <xdr:col>3</xdr:col>
      <xdr:colOff>747562</xdr:colOff>
      <xdr:row>0</xdr:row>
      <xdr:rowOff>407035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6FFD42-0FBA-475D-9A42-BDC474040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3" y="47625"/>
          <a:ext cx="1478129" cy="359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S45"/>
  <sheetViews>
    <sheetView topLeftCell="A3" zoomScale="80" zoomScaleNormal="80" workbookViewId="0">
      <selection activeCell="E19" sqref="E19"/>
    </sheetView>
  </sheetViews>
  <sheetFormatPr defaultColWidth="9.109375" defaultRowHeight="17.399999999999999" x14ac:dyDescent="0.35"/>
  <cols>
    <col min="1" max="2" width="0.109375" style="1" customWidth="1"/>
    <col min="3" max="3" width="11" style="1" customWidth="1"/>
    <col min="4" max="4" width="34.44140625" style="1" customWidth="1"/>
    <col min="5" max="8" width="22.5546875" style="4" customWidth="1"/>
    <col min="9" max="9" width="23.109375" style="4" hidden="1" customWidth="1"/>
    <col min="10" max="10" width="11.6640625" style="4" hidden="1" customWidth="1"/>
    <col min="11" max="11" width="21.33203125" style="4" hidden="1" customWidth="1"/>
    <col min="12" max="12" width="13.5546875" style="5" customWidth="1"/>
    <col min="13" max="13" width="15.44140625" style="7" hidden="1" customWidth="1"/>
    <col min="14" max="14" width="10.88671875" style="1" hidden="1" customWidth="1"/>
    <col min="15" max="15" width="14.109375" style="9" hidden="1" customWidth="1"/>
    <col min="16" max="17" width="0" style="1" hidden="1" customWidth="1"/>
    <col min="18" max="16384" width="9.109375" style="1"/>
  </cols>
  <sheetData>
    <row r="1" spans="1:643" ht="34.950000000000003" customHeight="1" x14ac:dyDescent="0.35">
      <c r="C1" s="33" t="s">
        <v>5</v>
      </c>
      <c r="D1" s="33"/>
      <c r="E1" s="33"/>
      <c r="F1" s="33"/>
      <c r="G1" s="33"/>
      <c r="H1" s="33"/>
      <c r="I1" s="33"/>
      <c r="J1" s="33"/>
      <c r="K1" s="33"/>
      <c r="L1" s="33"/>
    </row>
    <row r="2" spans="1:643" ht="7.5" customHeight="1" x14ac:dyDescent="0.35">
      <c r="A2" s="3"/>
      <c r="B2" s="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643" s="14" customFormat="1" ht="61.5" customHeight="1" x14ac:dyDescent="0.3">
      <c r="A3" s="17"/>
      <c r="B3" s="17"/>
      <c r="C3" s="19"/>
      <c r="D3" s="20" t="s">
        <v>3</v>
      </c>
      <c r="E3" s="21" t="s">
        <v>6</v>
      </c>
      <c r="F3" s="21" t="s">
        <v>7</v>
      </c>
      <c r="G3" s="21" t="s">
        <v>8</v>
      </c>
      <c r="H3" s="21" t="s">
        <v>9</v>
      </c>
      <c r="I3" s="21"/>
      <c r="J3" s="32" t="s">
        <v>4</v>
      </c>
      <c r="K3" s="32"/>
      <c r="L3" s="32"/>
      <c r="M3" s="16"/>
      <c r="N3" s="15"/>
      <c r="O3" s="13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</row>
    <row r="4" spans="1:643" ht="24.75" customHeight="1" x14ac:dyDescent="0.35">
      <c r="C4" s="34" t="s">
        <v>2</v>
      </c>
      <c r="D4" s="24" t="s">
        <v>10</v>
      </c>
      <c r="E4" s="26">
        <v>2500</v>
      </c>
      <c r="F4" s="26">
        <v>2500</v>
      </c>
      <c r="G4" s="26">
        <v>5000</v>
      </c>
      <c r="H4" s="26">
        <v>2500</v>
      </c>
      <c r="I4" s="26"/>
      <c r="J4" s="22">
        <f>SUM(E4:I4)</f>
        <v>12500</v>
      </c>
      <c r="K4" s="23">
        <f>+J4/208</f>
        <v>60.096153846153847</v>
      </c>
      <c r="L4" s="27">
        <f>SUM(E4:H4)</f>
        <v>12500</v>
      </c>
      <c r="M4" s="10">
        <v>178</v>
      </c>
      <c r="N4" s="11">
        <f>J4*M4</f>
        <v>2225000</v>
      </c>
      <c r="O4" s="12"/>
    </row>
    <row r="5" spans="1:643" ht="24.75" customHeight="1" x14ac:dyDescent="0.35">
      <c r="C5" s="34"/>
      <c r="D5" s="24" t="s">
        <v>11</v>
      </c>
      <c r="E5" s="25">
        <v>5900</v>
      </c>
      <c r="F5" s="26">
        <v>5900</v>
      </c>
      <c r="G5" s="25"/>
      <c r="H5" s="25">
        <v>5900</v>
      </c>
      <c r="I5" s="25"/>
      <c r="J5" s="22">
        <f>SUM(E5:I5)</f>
        <v>17700</v>
      </c>
      <c r="K5" s="23">
        <f t="shared" ref="K5" si="0">+J5/208</f>
        <v>85.09615384615384</v>
      </c>
      <c r="L5" s="27">
        <f>SUM(E5:H5)</f>
        <v>17700</v>
      </c>
      <c r="M5" s="10"/>
      <c r="N5" s="11">
        <f>J5*M5</f>
        <v>0</v>
      </c>
      <c r="O5" s="12"/>
    </row>
    <row r="6" spans="1:643" ht="24.75" customHeight="1" x14ac:dyDescent="0.35">
      <c r="C6" s="35" t="s">
        <v>0</v>
      </c>
      <c r="D6" s="24" t="s">
        <v>36</v>
      </c>
      <c r="E6" s="25"/>
      <c r="F6" s="26"/>
      <c r="G6" s="25"/>
      <c r="H6" s="25">
        <v>5700</v>
      </c>
      <c r="I6" s="25"/>
      <c r="J6" s="22"/>
      <c r="K6" s="23"/>
      <c r="L6" s="27">
        <f>SUM(E6:H6)</f>
        <v>5700</v>
      </c>
      <c r="M6" s="10"/>
      <c r="N6" s="11"/>
      <c r="O6" s="12"/>
    </row>
    <row r="7" spans="1:643" ht="24.75" customHeight="1" x14ac:dyDescent="0.35">
      <c r="C7" s="36"/>
      <c r="D7" s="24" t="s">
        <v>35</v>
      </c>
      <c r="E7" s="25"/>
      <c r="F7" s="26">
        <v>3200</v>
      </c>
      <c r="G7" s="25"/>
      <c r="H7" s="25"/>
      <c r="I7" s="25"/>
      <c r="J7" s="22"/>
      <c r="K7" s="23"/>
      <c r="L7" s="27">
        <f>SUM(E7:H7)</f>
        <v>3200</v>
      </c>
      <c r="M7" s="10"/>
      <c r="N7" s="11"/>
      <c r="O7" s="12"/>
    </row>
    <row r="8" spans="1:643" ht="24.75" customHeight="1" x14ac:dyDescent="0.35">
      <c r="C8" s="36"/>
      <c r="D8" s="24" t="s">
        <v>12</v>
      </c>
      <c r="E8" s="25">
        <v>4000</v>
      </c>
      <c r="F8" s="26">
        <v>4000</v>
      </c>
      <c r="G8" s="25">
        <v>4000</v>
      </c>
      <c r="H8" s="25">
        <v>4000</v>
      </c>
      <c r="I8" s="25"/>
      <c r="J8" s="22"/>
      <c r="K8" s="23"/>
      <c r="L8" s="27">
        <f>SUM(E8:H8)</f>
        <v>16000</v>
      </c>
      <c r="M8" s="10">
        <v>192</v>
      </c>
      <c r="N8" s="11">
        <f>J8*M8</f>
        <v>0</v>
      </c>
      <c r="O8" s="12">
        <f>+J8*5.28</f>
        <v>0</v>
      </c>
    </row>
    <row r="9" spans="1:643" ht="24.75" customHeight="1" x14ac:dyDescent="0.35">
      <c r="C9" s="36"/>
      <c r="D9" s="24" t="s">
        <v>14</v>
      </c>
      <c r="E9" s="25"/>
      <c r="F9" s="26"/>
      <c r="G9" s="25"/>
      <c r="H9" s="25">
        <v>8800</v>
      </c>
      <c r="I9" s="25"/>
      <c r="J9" s="22"/>
      <c r="K9" s="23"/>
      <c r="L9" s="27">
        <f t="shared" ref="L9:L43" si="1">SUM(E9:H9)</f>
        <v>8800</v>
      </c>
      <c r="M9" s="10"/>
      <c r="N9" s="11"/>
      <c r="O9" s="12"/>
    </row>
    <row r="10" spans="1:643" ht="24.75" customHeight="1" x14ac:dyDescent="0.35">
      <c r="C10" s="36"/>
      <c r="D10" s="24" t="s">
        <v>15</v>
      </c>
      <c r="E10" s="25"/>
      <c r="F10" s="26"/>
      <c r="G10" s="25"/>
      <c r="H10" s="25">
        <v>5000</v>
      </c>
      <c r="I10" s="25"/>
      <c r="J10" s="22"/>
      <c r="K10" s="23"/>
      <c r="L10" s="27">
        <f t="shared" si="1"/>
        <v>5000</v>
      </c>
      <c r="M10" s="10">
        <v>192</v>
      </c>
      <c r="N10" s="11">
        <f t="shared" ref="N10:N17" si="2">J10*M10</f>
        <v>0</v>
      </c>
      <c r="O10" s="12">
        <f t="shared" ref="O10:O17" si="3">+J10*5.28</f>
        <v>0</v>
      </c>
    </row>
    <row r="11" spans="1:643" ht="24.75" customHeight="1" x14ac:dyDescent="0.35">
      <c r="C11" s="36"/>
      <c r="D11" s="24" t="s">
        <v>16</v>
      </c>
      <c r="E11" s="25"/>
      <c r="F11" s="26">
        <v>7500</v>
      </c>
      <c r="G11" s="25"/>
      <c r="H11" s="25"/>
      <c r="I11" s="25"/>
      <c r="J11" s="22"/>
      <c r="K11" s="23"/>
      <c r="L11" s="27">
        <f t="shared" si="1"/>
        <v>7500</v>
      </c>
      <c r="M11" s="10">
        <v>180</v>
      </c>
      <c r="N11" s="11">
        <f t="shared" si="2"/>
        <v>0</v>
      </c>
      <c r="O11" s="12">
        <f t="shared" si="3"/>
        <v>0</v>
      </c>
    </row>
    <row r="12" spans="1:643" ht="24.75" customHeight="1" x14ac:dyDescent="0.35">
      <c r="C12" s="36"/>
      <c r="D12" s="24" t="s">
        <v>17</v>
      </c>
      <c r="E12" s="25">
        <v>5000</v>
      </c>
      <c r="F12" s="26"/>
      <c r="G12" s="25"/>
      <c r="H12" s="25"/>
      <c r="I12" s="25"/>
      <c r="J12" s="22"/>
      <c r="K12" s="23"/>
      <c r="L12" s="27">
        <f t="shared" si="1"/>
        <v>5000</v>
      </c>
      <c r="M12" s="10">
        <v>180</v>
      </c>
      <c r="N12" s="11">
        <f t="shared" si="2"/>
        <v>0</v>
      </c>
      <c r="O12" s="12">
        <f t="shared" si="3"/>
        <v>0</v>
      </c>
    </row>
    <row r="13" spans="1:643" ht="24.75" customHeight="1" x14ac:dyDescent="0.35">
      <c r="C13" s="36"/>
      <c r="D13" s="24" t="s">
        <v>18</v>
      </c>
      <c r="E13" s="25"/>
      <c r="F13" s="26">
        <v>5000</v>
      </c>
      <c r="G13" s="25">
        <v>2000</v>
      </c>
      <c r="H13" s="25"/>
      <c r="I13" s="25"/>
      <c r="J13" s="22"/>
      <c r="K13" s="23"/>
      <c r="L13" s="27">
        <f t="shared" si="1"/>
        <v>7000</v>
      </c>
      <c r="M13" s="10">
        <v>154</v>
      </c>
      <c r="N13" s="11">
        <f t="shared" si="2"/>
        <v>0</v>
      </c>
      <c r="O13" s="12">
        <f t="shared" si="3"/>
        <v>0</v>
      </c>
    </row>
    <row r="14" spans="1:643" ht="24.75" customHeight="1" x14ac:dyDescent="0.35">
      <c r="C14" s="36"/>
      <c r="D14" s="24" t="s">
        <v>19</v>
      </c>
      <c r="E14" s="25"/>
      <c r="F14" s="26">
        <v>5000</v>
      </c>
      <c r="G14" s="25">
        <v>2000</v>
      </c>
      <c r="H14" s="25"/>
      <c r="I14" s="25"/>
      <c r="J14" s="22"/>
      <c r="K14" s="23"/>
      <c r="L14" s="27">
        <f t="shared" si="1"/>
        <v>7000</v>
      </c>
      <c r="M14" s="10">
        <v>154</v>
      </c>
      <c r="N14" s="11">
        <f t="shared" si="2"/>
        <v>0</v>
      </c>
      <c r="O14" s="12">
        <f t="shared" si="3"/>
        <v>0</v>
      </c>
    </row>
    <row r="15" spans="1:643" ht="24.75" customHeight="1" x14ac:dyDescent="0.35">
      <c r="C15" s="36"/>
      <c r="D15" s="24" t="s">
        <v>20</v>
      </c>
      <c r="E15" s="25">
        <v>20000</v>
      </c>
      <c r="F15" s="26"/>
      <c r="G15" s="25"/>
      <c r="H15" s="25"/>
      <c r="I15" s="25"/>
      <c r="J15" s="22"/>
      <c r="K15" s="23"/>
      <c r="L15" s="27">
        <f t="shared" si="1"/>
        <v>20000</v>
      </c>
      <c r="M15" s="10">
        <v>154</v>
      </c>
      <c r="N15" s="11">
        <f t="shared" si="2"/>
        <v>0</v>
      </c>
      <c r="O15" s="12">
        <f t="shared" si="3"/>
        <v>0</v>
      </c>
    </row>
    <row r="16" spans="1:643" ht="24.75" customHeight="1" x14ac:dyDescent="0.35">
      <c r="C16" s="36"/>
      <c r="D16" s="24" t="s">
        <v>21</v>
      </c>
      <c r="E16" s="25">
        <v>1800</v>
      </c>
      <c r="F16" s="26"/>
      <c r="G16" s="25"/>
      <c r="H16" s="25">
        <v>1800</v>
      </c>
      <c r="I16" s="25"/>
      <c r="J16" s="22"/>
      <c r="K16" s="23"/>
      <c r="L16" s="27">
        <f>SUM(E16:H16)</f>
        <v>3600</v>
      </c>
      <c r="M16" s="10">
        <v>154</v>
      </c>
      <c r="N16" s="11">
        <f t="shared" si="2"/>
        <v>0</v>
      </c>
      <c r="O16" s="12">
        <f t="shared" si="3"/>
        <v>0</v>
      </c>
    </row>
    <row r="17" spans="3:15" ht="24.75" customHeight="1" x14ac:dyDescent="0.35">
      <c r="C17" s="36"/>
      <c r="D17" s="24" t="s">
        <v>22</v>
      </c>
      <c r="E17" s="25">
        <v>2000</v>
      </c>
      <c r="F17" s="26"/>
      <c r="G17" s="25"/>
      <c r="H17" s="25">
        <v>2000</v>
      </c>
      <c r="I17" s="25"/>
      <c r="J17" s="22"/>
      <c r="K17" s="23"/>
      <c r="L17" s="27">
        <f t="shared" si="1"/>
        <v>4000</v>
      </c>
      <c r="M17" s="10">
        <v>186</v>
      </c>
      <c r="N17" s="11">
        <f t="shared" si="2"/>
        <v>0</v>
      </c>
      <c r="O17" s="12">
        <f t="shared" si="3"/>
        <v>0</v>
      </c>
    </row>
    <row r="18" spans="3:15" ht="24.75" customHeight="1" x14ac:dyDescent="0.35">
      <c r="C18" s="36"/>
      <c r="D18" s="24" t="s">
        <v>23</v>
      </c>
      <c r="E18" s="25"/>
      <c r="F18" s="26"/>
      <c r="G18" s="25">
        <v>4000</v>
      </c>
      <c r="H18" s="25"/>
      <c r="I18" s="25"/>
      <c r="J18" s="22"/>
      <c r="K18" s="23"/>
      <c r="L18" s="27">
        <f t="shared" si="1"/>
        <v>4000</v>
      </c>
      <c r="M18" s="10"/>
      <c r="N18" s="11"/>
      <c r="O18" s="12"/>
    </row>
    <row r="19" spans="3:15" ht="24.75" customHeight="1" x14ac:dyDescent="0.35">
      <c r="C19" s="36"/>
      <c r="D19" s="24" t="s">
        <v>24</v>
      </c>
      <c r="E19" s="25"/>
      <c r="F19" s="26"/>
      <c r="G19" s="25">
        <v>6000</v>
      </c>
      <c r="H19" s="25"/>
      <c r="I19" s="25"/>
      <c r="J19" s="22"/>
      <c r="K19" s="23"/>
      <c r="L19" s="27">
        <f t="shared" si="1"/>
        <v>6000</v>
      </c>
      <c r="M19" s="10"/>
      <c r="N19" s="11"/>
      <c r="O19" s="12"/>
    </row>
    <row r="20" spans="3:15" ht="24.75" customHeight="1" x14ac:dyDescent="0.35">
      <c r="C20" s="36"/>
      <c r="D20" s="24" t="s">
        <v>25</v>
      </c>
      <c r="E20" s="25"/>
      <c r="F20" s="26"/>
      <c r="G20" s="25">
        <v>12500</v>
      </c>
      <c r="H20" s="25"/>
      <c r="I20" s="25"/>
      <c r="J20" s="22"/>
      <c r="K20" s="23"/>
      <c r="L20" s="27">
        <f t="shared" si="1"/>
        <v>12500</v>
      </c>
      <c r="M20" s="10"/>
      <c r="N20" s="11"/>
      <c r="O20" s="12"/>
    </row>
    <row r="21" spans="3:15" ht="24.75" customHeight="1" x14ac:dyDescent="0.35">
      <c r="C21" s="36"/>
      <c r="D21" s="24" t="s">
        <v>26</v>
      </c>
      <c r="E21" s="25"/>
      <c r="F21" s="26"/>
      <c r="G21" s="25"/>
      <c r="H21" s="25">
        <v>4000</v>
      </c>
      <c r="I21" s="25"/>
      <c r="J21" s="22"/>
      <c r="K21" s="23"/>
      <c r="L21" s="27">
        <f t="shared" si="1"/>
        <v>4000</v>
      </c>
      <c r="M21" s="10"/>
      <c r="N21" s="11"/>
      <c r="O21" s="12"/>
    </row>
    <row r="22" spans="3:15" ht="24.75" customHeight="1" x14ac:dyDescent="0.35">
      <c r="C22" s="36"/>
      <c r="D22" s="24" t="s">
        <v>27</v>
      </c>
      <c r="E22" s="25"/>
      <c r="F22" s="26"/>
      <c r="G22" s="25"/>
      <c r="H22" s="25">
        <v>6000</v>
      </c>
      <c r="I22" s="25"/>
      <c r="J22" s="22"/>
      <c r="K22" s="23"/>
      <c r="L22" s="27">
        <f t="shared" si="1"/>
        <v>6000</v>
      </c>
      <c r="M22" s="10"/>
      <c r="N22" s="11"/>
      <c r="O22" s="12"/>
    </row>
    <row r="23" spans="3:15" ht="24.75" customHeight="1" x14ac:dyDescent="0.35">
      <c r="C23" s="36"/>
      <c r="D23" s="24" t="s">
        <v>30</v>
      </c>
      <c r="E23" s="25"/>
      <c r="F23" s="26">
        <v>5000</v>
      </c>
      <c r="G23" s="25"/>
      <c r="H23" s="25"/>
      <c r="I23" s="25"/>
      <c r="J23" s="22"/>
      <c r="K23" s="23"/>
      <c r="L23" s="27">
        <f t="shared" si="1"/>
        <v>5000</v>
      </c>
      <c r="M23" s="10"/>
      <c r="N23" s="11"/>
      <c r="O23" s="12"/>
    </row>
    <row r="24" spans="3:15" ht="24.75" customHeight="1" x14ac:dyDescent="0.35">
      <c r="C24" s="36"/>
      <c r="D24" s="24" t="s">
        <v>31</v>
      </c>
      <c r="E24" s="25"/>
      <c r="F24" s="26"/>
      <c r="G24" s="25">
        <v>5000</v>
      </c>
      <c r="H24" s="25">
        <v>5000</v>
      </c>
      <c r="I24" s="25"/>
      <c r="J24" s="22"/>
      <c r="K24" s="23"/>
      <c r="L24" s="27">
        <f t="shared" si="1"/>
        <v>10000</v>
      </c>
      <c r="M24" s="10"/>
      <c r="N24" s="11"/>
      <c r="O24" s="12"/>
    </row>
    <row r="25" spans="3:15" ht="24.75" customHeight="1" x14ac:dyDescent="0.35">
      <c r="C25" s="36"/>
      <c r="D25" s="24" t="s">
        <v>32</v>
      </c>
      <c r="E25" s="25">
        <v>4000</v>
      </c>
      <c r="F25" s="26">
        <v>6000</v>
      </c>
      <c r="G25" s="25"/>
      <c r="H25" s="25"/>
      <c r="I25" s="25"/>
      <c r="J25" s="22"/>
      <c r="K25" s="23"/>
      <c r="L25" s="27">
        <f t="shared" si="1"/>
        <v>10000</v>
      </c>
      <c r="M25" s="10"/>
      <c r="N25" s="11"/>
      <c r="O25" s="12"/>
    </row>
    <row r="26" spans="3:15" ht="24.75" customHeight="1" x14ac:dyDescent="0.35">
      <c r="C26" s="36"/>
      <c r="D26" s="24" t="s">
        <v>33</v>
      </c>
      <c r="E26" s="25">
        <v>3500</v>
      </c>
      <c r="F26" s="26">
        <v>7000</v>
      </c>
      <c r="G26" s="25"/>
      <c r="H26" s="25"/>
      <c r="I26" s="25"/>
      <c r="J26" s="22"/>
      <c r="K26" s="23"/>
      <c r="L26" s="27">
        <f t="shared" si="1"/>
        <v>10500</v>
      </c>
      <c r="M26" s="10"/>
      <c r="N26" s="11"/>
      <c r="O26" s="12"/>
    </row>
    <row r="27" spans="3:15" ht="24.75" customHeight="1" x14ac:dyDescent="0.35">
      <c r="C27" s="37"/>
      <c r="D27" s="24" t="s">
        <v>34</v>
      </c>
      <c r="E27" s="25"/>
      <c r="F27" s="26"/>
      <c r="G27" s="25">
        <v>6000</v>
      </c>
      <c r="H27" s="25"/>
      <c r="I27" s="25"/>
      <c r="J27" s="22"/>
      <c r="K27" s="23"/>
      <c r="L27" s="27">
        <f t="shared" si="1"/>
        <v>6000</v>
      </c>
      <c r="M27" s="10"/>
      <c r="N27" s="11"/>
      <c r="O27" s="12"/>
    </row>
    <row r="28" spans="3:15" ht="24.75" customHeight="1" x14ac:dyDescent="0.35">
      <c r="C28" s="29" t="s">
        <v>1</v>
      </c>
      <c r="D28" s="24" t="s">
        <v>36</v>
      </c>
      <c r="E28" s="25"/>
      <c r="F28" s="26"/>
      <c r="G28" s="25"/>
      <c r="H28" s="25">
        <v>2000</v>
      </c>
      <c r="I28" s="25"/>
      <c r="J28" s="22"/>
      <c r="K28" s="23"/>
      <c r="L28" s="27">
        <f t="shared" si="1"/>
        <v>2000</v>
      </c>
      <c r="M28" s="10"/>
      <c r="N28" s="11"/>
      <c r="O28" s="12"/>
    </row>
    <row r="29" spans="3:15" ht="24.75" customHeight="1" x14ac:dyDescent="0.35">
      <c r="C29" s="30"/>
      <c r="D29" s="24" t="s">
        <v>35</v>
      </c>
      <c r="E29" s="25"/>
      <c r="F29" s="26">
        <v>1400</v>
      </c>
      <c r="G29" s="25"/>
      <c r="H29" s="25"/>
      <c r="I29" s="25"/>
      <c r="J29" s="22"/>
      <c r="K29" s="23"/>
      <c r="L29" s="27">
        <f t="shared" si="1"/>
        <v>1400</v>
      </c>
      <c r="M29" s="10"/>
      <c r="N29" s="11"/>
      <c r="O29" s="12"/>
    </row>
    <row r="30" spans="3:15" ht="24.75" customHeight="1" x14ac:dyDescent="0.35">
      <c r="C30" s="30"/>
      <c r="D30" s="24" t="s">
        <v>13</v>
      </c>
      <c r="E30" s="25">
        <v>1850</v>
      </c>
      <c r="F30" s="26"/>
      <c r="G30" s="25">
        <v>1850</v>
      </c>
      <c r="H30" s="25"/>
      <c r="I30" s="25"/>
      <c r="J30" s="22"/>
      <c r="K30" s="23"/>
      <c r="L30" s="27">
        <f t="shared" si="1"/>
        <v>3700</v>
      </c>
      <c r="M30" s="10">
        <v>276</v>
      </c>
      <c r="N30" s="18">
        <f>J30*M30</f>
        <v>0</v>
      </c>
      <c r="O30" s="12">
        <f>+J30*8.64</f>
        <v>0</v>
      </c>
    </row>
    <row r="31" spans="3:15" ht="24.75" customHeight="1" x14ac:dyDescent="0.35">
      <c r="C31" s="30"/>
      <c r="D31" s="24" t="s">
        <v>15</v>
      </c>
      <c r="E31" s="25"/>
      <c r="F31" s="26"/>
      <c r="G31" s="25"/>
      <c r="H31" s="25">
        <v>4000</v>
      </c>
      <c r="I31" s="25"/>
      <c r="J31" s="22"/>
      <c r="K31" s="23"/>
      <c r="L31" s="27">
        <f t="shared" si="1"/>
        <v>4000</v>
      </c>
      <c r="M31" s="10"/>
      <c r="N31" s="11"/>
      <c r="O31" s="12"/>
    </row>
    <row r="32" spans="3:15" ht="24.75" customHeight="1" x14ac:dyDescent="0.35">
      <c r="C32" s="30"/>
      <c r="D32" s="24" t="s">
        <v>16</v>
      </c>
      <c r="E32" s="25"/>
      <c r="F32" s="26"/>
      <c r="G32" s="25"/>
      <c r="H32" s="25">
        <v>4000</v>
      </c>
      <c r="I32" s="25"/>
      <c r="J32" s="22"/>
      <c r="K32" s="23"/>
      <c r="L32" s="27">
        <f t="shared" si="1"/>
        <v>4000</v>
      </c>
      <c r="M32" s="10"/>
      <c r="N32" s="11"/>
      <c r="O32" s="12"/>
    </row>
    <row r="33" spans="3:15" ht="24.75" customHeight="1" x14ac:dyDescent="0.35">
      <c r="C33" s="30"/>
      <c r="D33" s="24" t="s">
        <v>17</v>
      </c>
      <c r="E33" s="25">
        <v>4300</v>
      </c>
      <c r="F33" s="26"/>
      <c r="G33" s="25"/>
      <c r="H33" s="25"/>
      <c r="I33" s="25"/>
      <c r="J33" s="22"/>
      <c r="K33" s="23"/>
      <c r="L33" s="27">
        <f t="shared" si="1"/>
        <v>4300</v>
      </c>
      <c r="M33" s="10"/>
      <c r="N33" s="11"/>
      <c r="O33" s="12"/>
    </row>
    <row r="34" spans="3:15" ht="24.75" customHeight="1" x14ac:dyDescent="0.35">
      <c r="C34" s="30"/>
      <c r="D34" s="24" t="s">
        <v>20</v>
      </c>
      <c r="E34" s="25"/>
      <c r="F34" s="26"/>
      <c r="G34" s="25">
        <v>2000</v>
      </c>
      <c r="H34" s="25"/>
      <c r="I34" s="25"/>
      <c r="J34" s="22"/>
      <c r="K34" s="23"/>
      <c r="L34" s="27">
        <f t="shared" si="1"/>
        <v>2000</v>
      </c>
      <c r="M34" s="10"/>
      <c r="N34" s="11"/>
      <c r="O34" s="12"/>
    </row>
    <row r="35" spans="3:15" ht="24.75" customHeight="1" x14ac:dyDescent="0.35">
      <c r="C35" s="30"/>
      <c r="D35" s="24" t="s">
        <v>21</v>
      </c>
      <c r="E35" s="25"/>
      <c r="F35" s="26">
        <v>1500</v>
      </c>
      <c r="G35" s="25"/>
      <c r="H35" s="25"/>
      <c r="I35" s="25"/>
      <c r="J35" s="22"/>
      <c r="K35" s="23"/>
      <c r="L35" s="27">
        <f t="shared" si="1"/>
        <v>1500</v>
      </c>
      <c r="M35" s="10"/>
      <c r="N35" s="11"/>
      <c r="O35" s="12"/>
    </row>
    <row r="36" spans="3:15" ht="24.75" customHeight="1" x14ac:dyDescent="0.35">
      <c r="C36" s="30"/>
      <c r="D36" s="24" t="s">
        <v>22</v>
      </c>
      <c r="E36" s="25"/>
      <c r="F36" s="26"/>
      <c r="G36" s="25"/>
      <c r="H36" s="25"/>
      <c r="I36" s="25"/>
      <c r="J36" s="22"/>
      <c r="K36" s="23"/>
      <c r="L36" s="27">
        <f t="shared" si="1"/>
        <v>0</v>
      </c>
      <c r="M36" s="10"/>
      <c r="N36" s="11"/>
      <c r="O36" s="12"/>
    </row>
    <row r="37" spans="3:15" ht="24.75" customHeight="1" x14ac:dyDescent="0.35">
      <c r="C37" s="30"/>
      <c r="D37" s="24" t="s">
        <v>23</v>
      </c>
      <c r="E37" s="25"/>
      <c r="F37" s="26"/>
      <c r="G37" s="25">
        <v>3000</v>
      </c>
      <c r="H37" s="25"/>
      <c r="I37" s="25"/>
      <c r="J37" s="22"/>
      <c r="K37" s="23"/>
      <c r="L37" s="27">
        <f t="shared" si="1"/>
        <v>3000</v>
      </c>
      <c r="M37" s="10"/>
      <c r="N37" s="11"/>
      <c r="O37" s="12"/>
    </row>
    <row r="38" spans="3:15" ht="24.75" customHeight="1" x14ac:dyDescent="0.35">
      <c r="C38" s="30"/>
      <c r="D38" s="24" t="s">
        <v>24</v>
      </c>
      <c r="E38" s="25"/>
      <c r="F38" s="26"/>
      <c r="G38" s="25">
        <v>4000</v>
      </c>
      <c r="H38" s="25"/>
      <c r="I38" s="25"/>
      <c r="J38" s="22"/>
      <c r="K38" s="23"/>
      <c r="L38" s="27">
        <f t="shared" si="1"/>
        <v>4000</v>
      </c>
      <c r="M38" s="10">
        <v>252</v>
      </c>
      <c r="N38" s="11">
        <f>J38*M38</f>
        <v>0</v>
      </c>
      <c r="O38" s="12">
        <f>+J38*8.64</f>
        <v>0</v>
      </c>
    </row>
    <row r="39" spans="3:15" ht="24.75" customHeight="1" x14ac:dyDescent="0.35">
      <c r="C39" s="30"/>
      <c r="D39" s="24" t="s">
        <v>25</v>
      </c>
      <c r="E39" s="25"/>
      <c r="F39" s="26"/>
      <c r="G39" s="25">
        <v>8000</v>
      </c>
      <c r="H39" s="25"/>
      <c r="I39" s="25"/>
      <c r="J39" s="22"/>
      <c r="K39" s="23"/>
      <c r="L39" s="27">
        <f t="shared" si="1"/>
        <v>8000</v>
      </c>
      <c r="M39" s="10">
        <v>252</v>
      </c>
      <c r="N39" s="11">
        <f>J39*M39</f>
        <v>0</v>
      </c>
      <c r="O39" s="12">
        <f>+J39*8.64</f>
        <v>0</v>
      </c>
    </row>
    <row r="40" spans="3:15" ht="24.75" customHeight="1" x14ac:dyDescent="0.35">
      <c r="C40" s="30"/>
      <c r="D40" s="24" t="s">
        <v>28</v>
      </c>
      <c r="E40" s="25"/>
      <c r="F40" s="26"/>
      <c r="G40" s="25"/>
      <c r="H40" s="25">
        <v>3000</v>
      </c>
      <c r="I40" s="25"/>
      <c r="J40" s="22"/>
      <c r="K40" s="23"/>
      <c r="L40" s="27">
        <f t="shared" si="1"/>
        <v>3000</v>
      </c>
      <c r="M40" s="10"/>
      <c r="N40" s="11"/>
      <c r="O40" s="12"/>
    </row>
    <row r="41" spans="3:15" ht="24.75" customHeight="1" x14ac:dyDescent="0.35">
      <c r="C41" s="30"/>
      <c r="D41" s="24" t="s">
        <v>29</v>
      </c>
      <c r="E41" s="25">
        <v>2000</v>
      </c>
      <c r="F41" s="26"/>
      <c r="G41" s="25">
        <v>2000</v>
      </c>
      <c r="H41" s="25"/>
      <c r="I41" s="25"/>
      <c r="J41" s="22"/>
      <c r="K41" s="23"/>
      <c r="L41" s="27">
        <f t="shared" si="1"/>
        <v>4000</v>
      </c>
      <c r="M41" s="10"/>
      <c r="N41" s="11"/>
      <c r="O41" s="12"/>
    </row>
    <row r="42" spans="3:15" ht="24.75" customHeight="1" x14ac:dyDescent="0.35">
      <c r="C42" s="30"/>
      <c r="D42" s="24" t="s">
        <v>32</v>
      </c>
      <c r="E42" s="25">
        <v>1000</v>
      </c>
      <c r="F42" s="26"/>
      <c r="G42" s="25"/>
      <c r="H42" s="25"/>
      <c r="I42" s="25"/>
      <c r="J42" s="22"/>
      <c r="K42" s="23"/>
      <c r="L42" s="27">
        <f t="shared" si="1"/>
        <v>1000</v>
      </c>
      <c r="M42" s="10"/>
      <c r="N42" s="11"/>
      <c r="O42" s="12"/>
    </row>
    <row r="43" spans="3:15" ht="24.75" customHeight="1" x14ac:dyDescent="0.35">
      <c r="C43" s="31"/>
      <c r="D43" s="24" t="s">
        <v>33</v>
      </c>
      <c r="E43" s="25">
        <v>2000</v>
      </c>
      <c r="F43" s="26"/>
      <c r="G43" s="25"/>
      <c r="H43" s="25">
        <v>2000</v>
      </c>
      <c r="I43" s="25"/>
      <c r="J43" s="22"/>
      <c r="K43" s="23"/>
      <c r="L43" s="27">
        <f t="shared" si="1"/>
        <v>4000</v>
      </c>
      <c r="M43" s="10">
        <v>264</v>
      </c>
      <c r="N43" s="11">
        <f>J43*M43</f>
        <v>0</v>
      </c>
      <c r="O43" s="12">
        <f>+J43*8.64</f>
        <v>0</v>
      </c>
    </row>
    <row r="44" spans="3:15" x14ac:dyDescent="0.35">
      <c r="C44" s="2"/>
    </row>
    <row r="45" spans="3:15" x14ac:dyDescent="0.35">
      <c r="E45" s="28">
        <f>SUM(E8:E43)</f>
        <v>51450</v>
      </c>
      <c r="F45" s="28">
        <f t="shared" ref="F45:K45" si="4">SUM(F8:F43)</f>
        <v>42400</v>
      </c>
      <c r="G45" s="28">
        <f t="shared" si="4"/>
        <v>62350</v>
      </c>
      <c r="H45" s="28">
        <f t="shared" si="4"/>
        <v>51600</v>
      </c>
      <c r="I45" s="28">
        <f t="shared" si="4"/>
        <v>0</v>
      </c>
      <c r="J45" s="28">
        <f t="shared" si="4"/>
        <v>0</v>
      </c>
      <c r="K45" s="28">
        <f t="shared" si="4"/>
        <v>0</v>
      </c>
      <c r="L45" s="6">
        <f>SUM(L4:L44)</f>
        <v>246900</v>
      </c>
      <c r="M45" s="7">
        <f>SUM(M30:M44)</f>
        <v>1044</v>
      </c>
      <c r="N45" s="8">
        <f>SUM(N30:N44)</f>
        <v>0</v>
      </c>
    </row>
  </sheetData>
  <mergeCells count="5">
    <mergeCell ref="C28:C43"/>
    <mergeCell ref="J3:L3"/>
    <mergeCell ref="C1:L2"/>
    <mergeCell ref="C4:C5"/>
    <mergeCell ref="C6:C27"/>
  </mergeCells>
  <pageMargins left="0.24" right="0.16" top="0.26" bottom="0.24" header="0.22" footer="0.17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46C1-A9A8-480A-86CD-4D3E5CEF3938}">
  <dimension ref="A1:XQ46"/>
  <sheetViews>
    <sheetView zoomScale="80" zoomScaleNormal="80" workbookViewId="0">
      <pane ySplit="3" topLeftCell="A8" activePane="bottomLeft" state="frozen"/>
      <selection activeCell="A3" sqref="A3"/>
      <selection pane="bottomLeft" activeCell="H7" sqref="H7"/>
    </sheetView>
  </sheetViews>
  <sheetFormatPr defaultColWidth="9.109375" defaultRowHeight="17.399999999999999" x14ac:dyDescent="0.35"/>
  <cols>
    <col min="1" max="2" width="0.109375" style="1" customWidth="1"/>
    <col min="3" max="3" width="11" style="1" customWidth="1"/>
    <col min="4" max="4" width="34.44140625" style="1" customWidth="1"/>
    <col min="5" max="8" width="22.5546875" style="4" customWidth="1"/>
    <col min="9" max="9" width="23.109375" style="4" customWidth="1"/>
    <col min="10" max="10" width="13.5546875" style="5" customWidth="1"/>
    <col min="11" max="11" width="15.44140625" style="7" hidden="1" customWidth="1"/>
    <col min="12" max="12" width="10.88671875" style="1" hidden="1" customWidth="1"/>
    <col min="13" max="13" width="14.109375" style="9" hidden="1" customWidth="1"/>
    <col min="14" max="15" width="0" style="1" hidden="1" customWidth="1"/>
    <col min="16" max="16384" width="9.109375" style="1"/>
  </cols>
  <sheetData>
    <row r="1" spans="1:641" ht="34.950000000000003" customHeight="1" x14ac:dyDescent="0.35">
      <c r="C1" s="33" t="s">
        <v>37</v>
      </c>
      <c r="D1" s="33"/>
      <c r="E1" s="33"/>
      <c r="F1" s="33"/>
      <c r="G1" s="33"/>
      <c r="H1" s="33"/>
      <c r="I1" s="33"/>
      <c r="J1" s="33"/>
    </row>
    <row r="2" spans="1:641" ht="7.5" customHeight="1" x14ac:dyDescent="0.35">
      <c r="A2" s="3"/>
      <c r="B2" s="3"/>
      <c r="C2" s="33"/>
      <c r="D2" s="33"/>
      <c r="E2" s="33"/>
      <c r="F2" s="33"/>
      <c r="G2" s="33"/>
      <c r="H2" s="33"/>
      <c r="I2" s="33"/>
      <c r="J2" s="33"/>
    </row>
    <row r="3" spans="1:641" s="14" customFormat="1" ht="61.5" customHeight="1" x14ac:dyDescent="0.3">
      <c r="A3" s="17"/>
      <c r="B3" s="17"/>
      <c r="C3" s="19"/>
      <c r="D3" s="20" t="s">
        <v>3</v>
      </c>
      <c r="E3" s="21" t="s">
        <v>38</v>
      </c>
      <c r="F3" s="21" t="s">
        <v>39</v>
      </c>
      <c r="G3" s="21" t="s">
        <v>42</v>
      </c>
      <c r="H3" s="21" t="s">
        <v>41</v>
      </c>
      <c r="I3" s="21" t="s">
        <v>40</v>
      </c>
      <c r="J3" s="21" t="s">
        <v>4</v>
      </c>
      <c r="K3" s="16"/>
      <c r="L3" s="15"/>
      <c r="M3" s="13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</row>
    <row r="4" spans="1:641" ht="24.75" customHeight="1" x14ac:dyDescent="0.35">
      <c r="C4" s="34" t="s">
        <v>2</v>
      </c>
      <c r="D4" s="24" t="s">
        <v>10</v>
      </c>
      <c r="E4" s="26">
        <v>2500</v>
      </c>
      <c r="F4" s="26">
        <v>2500</v>
      </c>
      <c r="G4" s="26">
        <v>2500</v>
      </c>
      <c r="H4" s="26">
        <v>2500</v>
      </c>
      <c r="I4" s="26">
        <v>2500</v>
      </c>
      <c r="J4" s="27">
        <f>SUM(E4:I4)</f>
        <v>12500</v>
      </c>
      <c r="K4" s="10">
        <v>178</v>
      </c>
      <c r="L4" s="11" t="e">
        <f>#REF!*K4</f>
        <v>#REF!</v>
      </c>
      <c r="M4" s="12"/>
    </row>
    <row r="5" spans="1:641" ht="24.75" customHeight="1" x14ac:dyDescent="0.35">
      <c r="C5" s="34"/>
      <c r="D5" s="24" t="s">
        <v>11</v>
      </c>
      <c r="E5" s="25">
        <v>2950</v>
      </c>
      <c r="F5" s="26">
        <v>2950</v>
      </c>
      <c r="G5" s="25"/>
      <c r="H5" s="25">
        <v>2950</v>
      </c>
      <c r="I5" s="25">
        <v>2950</v>
      </c>
      <c r="J5" s="27">
        <f t="shared" ref="J5:J44" si="0">SUM(E5:I5)</f>
        <v>11800</v>
      </c>
      <c r="K5" s="10"/>
      <c r="L5" s="11" t="e">
        <f>#REF!*K5</f>
        <v>#REF!</v>
      </c>
      <c r="M5" s="12"/>
    </row>
    <row r="6" spans="1:641" ht="24.75" customHeight="1" x14ac:dyDescent="0.35">
      <c r="C6" s="35" t="s">
        <v>0</v>
      </c>
      <c r="D6" s="24" t="s">
        <v>36</v>
      </c>
      <c r="E6" s="25"/>
      <c r="F6" s="26"/>
      <c r="G6" s="25"/>
      <c r="H6" s="25"/>
      <c r="I6" s="25"/>
      <c r="J6" s="27">
        <f t="shared" si="0"/>
        <v>0</v>
      </c>
      <c r="K6" s="10"/>
      <c r="L6" s="11"/>
      <c r="M6" s="12"/>
    </row>
    <row r="7" spans="1:641" ht="24.75" customHeight="1" x14ac:dyDescent="0.35">
      <c r="C7" s="36"/>
      <c r="D7" s="24" t="s">
        <v>35</v>
      </c>
      <c r="E7" s="25"/>
      <c r="F7" s="26"/>
      <c r="G7" s="25"/>
      <c r="H7" s="25"/>
      <c r="I7" s="25"/>
      <c r="J7" s="27">
        <f t="shared" si="0"/>
        <v>0</v>
      </c>
      <c r="K7" s="10"/>
      <c r="L7" s="11"/>
      <c r="M7" s="12"/>
    </row>
    <row r="8" spans="1:641" ht="24.75" customHeight="1" x14ac:dyDescent="0.35">
      <c r="C8" s="36"/>
      <c r="D8" s="24" t="s">
        <v>12</v>
      </c>
      <c r="E8" s="25">
        <v>4000</v>
      </c>
      <c r="F8" s="26">
        <v>4000</v>
      </c>
      <c r="G8" s="25">
        <v>4000</v>
      </c>
      <c r="H8" s="25"/>
      <c r="I8" s="25"/>
      <c r="J8" s="27">
        <f t="shared" si="0"/>
        <v>12000</v>
      </c>
      <c r="K8" s="10">
        <v>192</v>
      </c>
      <c r="L8" s="11" t="e">
        <f>#REF!*K8</f>
        <v>#REF!</v>
      </c>
      <c r="M8" s="12" t="e">
        <f>+#REF!*5.28</f>
        <v>#REF!</v>
      </c>
    </row>
    <row r="9" spans="1:641" ht="24.75" customHeight="1" x14ac:dyDescent="0.35">
      <c r="C9" s="36"/>
      <c r="D9" s="24" t="s">
        <v>14</v>
      </c>
      <c r="E9" s="25"/>
      <c r="F9" s="26">
        <v>8800</v>
      </c>
      <c r="G9" s="25"/>
      <c r="H9" s="25"/>
      <c r="I9" s="25"/>
      <c r="J9" s="27">
        <f t="shared" si="0"/>
        <v>8800</v>
      </c>
      <c r="K9" s="10"/>
      <c r="L9" s="11"/>
      <c r="M9" s="12"/>
    </row>
    <row r="10" spans="1:641" ht="24.75" customHeight="1" x14ac:dyDescent="0.35">
      <c r="C10" s="36"/>
      <c r="D10" s="24" t="s">
        <v>15</v>
      </c>
      <c r="E10" s="25"/>
      <c r="F10" s="26"/>
      <c r="G10" s="25">
        <v>6000</v>
      </c>
      <c r="H10" s="25"/>
      <c r="I10" s="25"/>
      <c r="J10" s="27">
        <f t="shared" si="0"/>
        <v>6000</v>
      </c>
      <c r="K10" s="10">
        <v>192</v>
      </c>
      <c r="L10" s="11" t="e">
        <f>#REF!*K10</f>
        <v>#REF!</v>
      </c>
      <c r="M10" s="12" t="e">
        <f>+#REF!*5.28</f>
        <v>#REF!</v>
      </c>
    </row>
    <row r="11" spans="1:641" ht="24.75" customHeight="1" x14ac:dyDescent="0.35">
      <c r="C11" s="36"/>
      <c r="D11" s="24" t="s">
        <v>16</v>
      </c>
      <c r="E11" s="25"/>
      <c r="F11" s="26"/>
      <c r="G11" s="25"/>
      <c r="H11" s="25">
        <v>10000</v>
      </c>
      <c r="I11" s="25"/>
      <c r="J11" s="27">
        <f t="shared" si="0"/>
        <v>10000</v>
      </c>
      <c r="K11" s="10">
        <v>180</v>
      </c>
      <c r="L11" s="11" t="e">
        <f>#REF!*K11</f>
        <v>#REF!</v>
      </c>
      <c r="M11" s="12" t="e">
        <f>+#REF!*5.28</f>
        <v>#REF!</v>
      </c>
    </row>
    <row r="12" spans="1:641" ht="24.75" customHeight="1" x14ac:dyDescent="0.35">
      <c r="C12" s="36"/>
      <c r="D12" s="24" t="s">
        <v>17</v>
      </c>
      <c r="E12" s="25"/>
      <c r="F12" s="26"/>
      <c r="G12" s="25"/>
      <c r="H12" s="25"/>
      <c r="I12" s="25">
        <v>2000</v>
      </c>
      <c r="J12" s="27">
        <f t="shared" si="0"/>
        <v>2000</v>
      </c>
      <c r="K12" s="10">
        <v>180</v>
      </c>
      <c r="L12" s="11" t="e">
        <f>#REF!*K12</f>
        <v>#REF!</v>
      </c>
      <c r="M12" s="12" t="e">
        <f>+#REF!*5.28</f>
        <v>#REF!</v>
      </c>
    </row>
    <row r="13" spans="1:641" ht="24.75" customHeight="1" x14ac:dyDescent="0.35">
      <c r="C13" s="36"/>
      <c r="D13" s="24" t="s">
        <v>18</v>
      </c>
      <c r="E13" s="25"/>
      <c r="F13" s="26">
        <v>2000</v>
      </c>
      <c r="G13" s="25"/>
      <c r="H13" s="25"/>
      <c r="I13" s="25"/>
      <c r="J13" s="27">
        <f t="shared" si="0"/>
        <v>2000</v>
      </c>
      <c r="K13" s="10">
        <v>154</v>
      </c>
      <c r="L13" s="11" t="e">
        <f>#REF!*K13</f>
        <v>#REF!</v>
      </c>
      <c r="M13" s="12" t="e">
        <f>+#REF!*5.28</f>
        <v>#REF!</v>
      </c>
    </row>
    <row r="14" spans="1:641" ht="24.75" customHeight="1" x14ac:dyDescent="0.35">
      <c r="C14" s="36"/>
      <c r="D14" s="24" t="s">
        <v>19</v>
      </c>
      <c r="E14" s="25"/>
      <c r="F14" s="26">
        <v>2000</v>
      </c>
      <c r="G14" s="25"/>
      <c r="H14" s="25"/>
      <c r="I14" s="25"/>
      <c r="J14" s="27">
        <f t="shared" si="0"/>
        <v>2000</v>
      </c>
      <c r="K14" s="10">
        <v>154</v>
      </c>
      <c r="L14" s="11" t="e">
        <f>#REF!*K14</f>
        <v>#REF!</v>
      </c>
      <c r="M14" s="12" t="e">
        <f>+#REF!*5.28</f>
        <v>#REF!</v>
      </c>
    </row>
    <row r="15" spans="1:641" ht="24.75" customHeight="1" x14ac:dyDescent="0.35">
      <c r="C15" s="36"/>
      <c r="D15" s="24" t="s">
        <v>20</v>
      </c>
      <c r="E15" s="25">
        <v>3000</v>
      </c>
      <c r="F15" s="26">
        <v>7000</v>
      </c>
      <c r="G15" s="25"/>
      <c r="H15" s="25"/>
      <c r="I15" s="25">
        <v>2000</v>
      </c>
      <c r="J15" s="27">
        <f t="shared" si="0"/>
        <v>12000</v>
      </c>
      <c r="K15" s="10">
        <v>154</v>
      </c>
      <c r="L15" s="11" t="e">
        <f>#REF!*K15</f>
        <v>#REF!</v>
      </c>
      <c r="M15" s="12" t="e">
        <f>+#REF!*5.28</f>
        <v>#REF!</v>
      </c>
    </row>
    <row r="16" spans="1:641" ht="24.75" customHeight="1" x14ac:dyDescent="0.35">
      <c r="C16" s="36"/>
      <c r="D16" s="24" t="s">
        <v>21</v>
      </c>
      <c r="E16" s="25"/>
      <c r="F16" s="26"/>
      <c r="G16" s="25"/>
      <c r="H16" s="25">
        <v>2000</v>
      </c>
      <c r="I16" s="25"/>
      <c r="J16" s="27">
        <f t="shared" si="0"/>
        <v>2000</v>
      </c>
      <c r="K16" s="10">
        <v>154</v>
      </c>
      <c r="L16" s="11" t="e">
        <f>#REF!*K16</f>
        <v>#REF!</v>
      </c>
      <c r="M16" s="12" t="e">
        <f>+#REF!*5.28</f>
        <v>#REF!</v>
      </c>
    </row>
    <row r="17" spans="3:13" ht="24.75" customHeight="1" x14ac:dyDescent="0.35">
      <c r="C17" s="36"/>
      <c r="D17" s="24" t="s">
        <v>22</v>
      </c>
      <c r="E17" s="25"/>
      <c r="F17" s="26"/>
      <c r="G17" s="25"/>
      <c r="H17" s="25">
        <v>2000</v>
      </c>
      <c r="I17" s="25"/>
      <c r="J17" s="27">
        <f t="shared" si="0"/>
        <v>2000</v>
      </c>
      <c r="K17" s="10">
        <v>186</v>
      </c>
      <c r="L17" s="11" t="e">
        <f>#REF!*K17</f>
        <v>#REF!</v>
      </c>
      <c r="M17" s="12" t="e">
        <f>+#REF!*5.28</f>
        <v>#REF!</v>
      </c>
    </row>
    <row r="18" spans="3:13" ht="24.75" customHeight="1" x14ac:dyDescent="0.35">
      <c r="C18" s="36"/>
      <c r="D18" s="24" t="s">
        <v>23</v>
      </c>
      <c r="E18" s="25"/>
      <c r="F18" s="26"/>
      <c r="G18" s="25"/>
      <c r="H18" s="25"/>
      <c r="I18" s="25"/>
      <c r="J18" s="27">
        <f t="shared" si="0"/>
        <v>0</v>
      </c>
      <c r="K18" s="10"/>
      <c r="L18" s="11"/>
      <c r="M18" s="12"/>
    </row>
    <row r="19" spans="3:13" ht="24.75" customHeight="1" x14ac:dyDescent="0.35">
      <c r="C19" s="36"/>
      <c r="D19" s="24" t="s">
        <v>24</v>
      </c>
      <c r="E19" s="25"/>
      <c r="F19" s="26"/>
      <c r="G19" s="25"/>
      <c r="H19" s="25"/>
      <c r="I19" s="25"/>
      <c r="J19" s="27">
        <f t="shared" si="0"/>
        <v>0</v>
      </c>
      <c r="K19" s="10"/>
      <c r="L19" s="11"/>
      <c r="M19" s="12"/>
    </row>
    <row r="20" spans="3:13" ht="24.75" customHeight="1" x14ac:dyDescent="0.35">
      <c r="C20" s="36"/>
      <c r="D20" s="24" t="s">
        <v>25</v>
      </c>
      <c r="E20" s="25"/>
      <c r="F20" s="26">
        <v>3000</v>
      </c>
      <c r="G20" s="25"/>
      <c r="H20" s="25">
        <v>15000</v>
      </c>
      <c r="I20" s="25"/>
      <c r="J20" s="27">
        <f t="shared" si="0"/>
        <v>18000</v>
      </c>
      <c r="K20" s="10"/>
      <c r="L20" s="11"/>
      <c r="M20" s="12"/>
    </row>
    <row r="21" spans="3:13" ht="24.75" customHeight="1" x14ac:dyDescent="0.35">
      <c r="C21" s="36"/>
      <c r="D21" s="24" t="s">
        <v>26</v>
      </c>
      <c r="E21" s="25"/>
      <c r="F21" s="26"/>
      <c r="G21" s="25"/>
      <c r="H21" s="25"/>
      <c r="I21" s="25"/>
      <c r="J21" s="27">
        <f t="shared" si="0"/>
        <v>0</v>
      </c>
      <c r="K21" s="10"/>
      <c r="L21" s="11"/>
      <c r="M21" s="12"/>
    </row>
    <row r="22" spans="3:13" ht="24.75" customHeight="1" x14ac:dyDescent="0.35">
      <c r="C22" s="36"/>
      <c r="D22" s="24" t="s">
        <v>27</v>
      </c>
      <c r="E22" s="25"/>
      <c r="F22" s="26"/>
      <c r="G22" s="25">
        <v>6000</v>
      </c>
      <c r="H22" s="25"/>
      <c r="I22" s="25"/>
      <c r="J22" s="27">
        <f t="shared" si="0"/>
        <v>6000</v>
      </c>
      <c r="K22" s="10"/>
      <c r="L22" s="11"/>
      <c r="M22" s="12"/>
    </row>
    <row r="23" spans="3:13" ht="24.75" customHeight="1" x14ac:dyDescent="0.35">
      <c r="C23" s="36"/>
      <c r="D23" s="24" t="s">
        <v>43</v>
      </c>
      <c r="E23" s="25">
        <v>5000</v>
      </c>
      <c r="F23" s="26"/>
      <c r="G23" s="25"/>
      <c r="H23" s="25">
        <v>3000</v>
      </c>
      <c r="I23" s="25"/>
      <c r="J23" s="27">
        <f t="shared" si="0"/>
        <v>8000</v>
      </c>
      <c r="K23" s="10"/>
      <c r="L23" s="11"/>
      <c r="M23" s="12"/>
    </row>
    <row r="24" spans="3:13" ht="24.75" customHeight="1" x14ac:dyDescent="0.35">
      <c r="C24" s="36"/>
      <c r="D24" s="24" t="s">
        <v>31</v>
      </c>
      <c r="E24" s="25"/>
      <c r="F24" s="26"/>
      <c r="G24" s="25"/>
      <c r="H24" s="25"/>
      <c r="I24" s="25"/>
      <c r="J24" s="27">
        <f t="shared" si="0"/>
        <v>0</v>
      </c>
      <c r="K24" s="10"/>
      <c r="L24" s="11"/>
      <c r="M24" s="12"/>
    </row>
    <row r="25" spans="3:13" ht="24.75" customHeight="1" x14ac:dyDescent="0.35">
      <c r="C25" s="36"/>
      <c r="D25" s="24" t="s">
        <v>32</v>
      </c>
      <c r="E25" s="25"/>
      <c r="F25" s="26"/>
      <c r="G25" s="25"/>
      <c r="H25" s="25">
        <v>5000</v>
      </c>
      <c r="I25" s="25"/>
      <c r="J25" s="27">
        <f t="shared" si="0"/>
        <v>5000</v>
      </c>
      <c r="K25" s="10"/>
      <c r="L25" s="11"/>
      <c r="M25" s="12"/>
    </row>
    <row r="26" spans="3:13" ht="24.75" customHeight="1" x14ac:dyDescent="0.35">
      <c r="C26" s="36"/>
      <c r="D26" s="24" t="s">
        <v>33</v>
      </c>
      <c r="E26" s="25"/>
      <c r="F26" s="26"/>
      <c r="G26" s="25"/>
      <c r="H26" s="25">
        <v>6000</v>
      </c>
      <c r="I26" s="25"/>
      <c r="J26" s="27">
        <f t="shared" si="0"/>
        <v>6000</v>
      </c>
      <c r="K26" s="10"/>
      <c r="L26" s="11"/>
      <c r="M26" s="12"/>
    </row>
    <row r="27" spans="3:13" ht="24.75" customHeight="1" x14ac:dyDescent="0.35">
      <c r="C27" s="37"/>
      <c r="D27" s="24" t="s">
        <v>34</v>
      </c>
      <c r="E27" s="25"/>
      <c r="F27" s="26"/>
      <c r="G27" s="25"/>
      <c r="H27" s="25">
        <v>4000</v>
      </c>
      <c r="I27" s="25"/>
      <c r="J27" s="27">
        <f t="shared" si="0"/>
        <v>4000</v>
      </c>
      <c r="K27" s="10"/>
      <c r="L27" s="11"/>
      <c r="M27" s="12"/>
    </row>
    <row r="28" spans="3:13" ht="24.75" customHeight="1" x14ac:dyDescent="0.35">
      <c r="C28" s="29" t="s">
        <v>1</v>
      </c>
      <c r="D28" s="24" t="s">
        <v>36</v>
      </c>
      <c r="E28" s="25"/>
      <c r="F28" s="26"/>
      <c r="G28" s="25"/>
      <c r="H28" s="25"/>
      <c r="I28" s="25"/>
      <c r="J28" s="27">
        <f t="shared" si="0"/>
        <v>0</v>
      </c>
      <c r="K28" s="10"/>
      <c r="L28" s="11"/>
      <c r="M28" s="12"/>
    </row>
    <row r="29" spans="3:13" ht="24.75" customHeight="1" x14ac:dyDescent="0.35">
      <c r="C29" s="30"/>
      <c r="D29" s="24" t="s">
        <v>35</v>
      </c>
      <c r="E29" s="25"/>
      <c r="F29" s="26"/>
      <c r="G29" s="25"/>
      <c r="H29" s="25"/>
      <c r="I29" s="25"/>
      <c r="J29" s="27">
        <f t="shared" si="0"/>
        <v>0</v>
      </c>
      <c r="K29" s="10"/>
      <c r="L29" s="11"/>
      <c r="M29" s="12"/>
    </row>
    <row r="30" spans="3:13" ht="24.75" customHeight="1" x14ac:dyDescent="0.35">
      <c r="C30" s="30"/>
      <c r="D30" s="24" t="s">
        <v>44</v>
      </c>
      <c r="E30" s="25"/>
      <c r="F30" s="26"/>
      <c r="G30" s="25"/>
      <c r="H30" s="25">
        <v>1500</v>
      </c>
      <c r="I30" s="25"/>
      <c r="J30" s="27">
        <f t="shared" si="0"/>
        <v>1500</v>
      </c>
      <c r="K30" s="10"/>
      <c r="L30" s="11"/>
      <c r="M30" s="12"/>
    </row>
    <row r="31" spans="3:13" ht="24.75" customHeight="1" x14ac:dyDescent="0.35">
      <c r="C31" s="30"/>
      <c r="D31" s="24" t="s">
        <v>13</v>
      </c>
      <c r="E31" s="25"/>
      <c r="F31" s="26">
        <v>1850</v>
      </c>
      <c r="G31" s="25"/>
      <c r="H31" s="25">
        <v>1850</v>
      </c>
      <c r="I31" s="25">
        <v>1850</v>
      </c>
      <c r="J31" s="27">
        <f t="shared" si="0"/>
        <v>5550</v>
      </c>
      <c r="K31" s="10">
        <v>276</v>
      </c>
      <c r="L31" s="18" t="e">
        <f>#REF!*K31</f>
        <v>#REF!</v>
      </c>
      <c r="M31" s="12" t="e">
        <f>+#REF!*8.64</f>
        <v>#REF!</v>
      </c>
    </row>
    <row r="32" spans="3:13" ht="24.75" customHeight="1" x14ac:dyDescent="0.35">
      <c r="C32" s="30"/>
      <c r="D32" s="24" t="s">
        <v>15</v>
      </c>
      <c r="E32" s="25"/>
      <c r="F32" s="26"/>
      <c r="G32" s="25">
        <v>4400</v>
      </c>
      <c r="H32" s="25"/>
      <c r="I32" s="25"/>
      <c r="J32" s="27">
        <f t="shared" si="0"/>
        <v>4400</v>
      </c>
      <c r="K32" s="10"/>
      <c r="L32" s="11"/>
      <c r="M32" s="12"/>
    </row>
    <row r="33" spans="3:13" ht="24.75" customHeight="1" x14ac:dyDescent="0.35">
      <c r="C33" s="30"/>
      <c r="D33" s="24" t="s">
        <v>16</v>
      </c>
      <c r="E33" s="25"/>
      <c r="F33" s="26"/>
      <c r="G33" s="25"/>
      <c r="H33" s="25">
        <v>5000</v>
      </c>
      <c r="I33" s="25">
        <v>2000</v>
      </c>
      <c r="J33" s="27">
        <f t="shared" si="0"/>
        <v>7000</v>
      </c>
      <c r="K33" s="10"/>
      <c r="L33" s="11"/>
      <c r="M33" s="12"/>
    </row>
    <row r="34" spans="3:13" ht="24.75" customHeight="1" x14ac:dyDescent="0.35">
      <c r="C34" s="30"/>
      <c r="D34" s="24" t="s">
        <v>17</v>
      </c>
      <c r="E34" s="25"/>
      <c r="F34" s="26"/>
      <c r="G34" s="25"/>
      <c r="H34" s="25"/>
      <c r="I34" s="25">
        <v>2000</v>
      </c>
      <c r="J34" s="27">
        <f t="shared" si="0"/>
        <v>2000</v>
      </c>
      <c r="K34" s="10"/>
      <c r="L34" s="11"/>
      <c r="M34" s="12"/>
    </row>
    <row r="35" spans="3:13" ht="24.75" customHeight="1" x14ac:dyDescent="0.35">
      <c r="C35" s="30"/>
      <c r="D35" s="24" t="s">
        <v>20</v>
      </c>
      <c r="E35" s="25">
        <v>2000</v>
      </c>
      <c r="F35" s="26"/>
      <c r="G35" s="25"/>
      <c r="H35" s="25"/>
      <c r="I35" s="25">
        <v>2000</v>
      </c>
      <c r="J35" s="27">
        <f t="shared" si="0"/>
        <v>4000</v>
      </c>
      <c r="K35" s="10"/>
      <c r="L35" s="11"/>
      <c r="M35" s="12"/>
    </row>
    <row r="36" spans="3:13" ht="24.75" customHeight="1" x14ac:dyDescent="0.35">
      <c r="C36" s="30"/>
      <c r="D36" s="24" t="s">
        <v>21</v>
      </c>
      <c r="E36" s="25"/>
      <c r="F36" s="26"/>
      <c r="G36" s="25"/>
      <c r="H36" s="25"/>
      <c r="I36" s="25"/>
      <c r="J36" s="27">
        <f t="shared" si="0"/>
        <v>0</v>
      </c>
      <c r="K36" s="10"/>
      <c r="L36" s="11"/>
      <c r="M36" s="12"/>
    </row>
    <row r="37" spans="3:13" ht="24.75" customHeight="1" x14ac:dyDescent="0.35">
      <c r="C37" s="30"/>
      <c r="D37" s="24" t="s">
        <v>22</v>
      </c>
      <c r="E37" s="25"/>
      <c r="F37" s="26"/>
      <c r="G37" s="25"/>
      <c r="H37" s="25">
        <v>1500</v>
      </c>
      <c r="I37" s="25"/>
      <c r="J37" s="27">
        <f t="shared" si="0"/>
        <v>1500</v>
      </c>
      <c r="K37" s="10"/>
      <c r="L37" s="11"/>
      <c r="M37" s="12"/>
    </row>
    <row r="38" spans="3:13" ht="24.75" customHeight="1" x14ac:dyDescent="0.35">
      <c r="C38" s="30"/>
      <c r="D38" s="24" t="s">
        <v>23</v>
      </c>
      <c r="E38" s="25">
        <v>2000</v>
      </c>
      <c r="F38" s="26"/>
      <c r="G38" s="25"/>
      <c r="H38" s="25"/>
      <c r="I38" s="25"/>
      <c r="J38" s="27">
        <f t="shared" si="0"/>
        <v>2000</v>
      </c>
      <c r="K38" s="10"/>
      <c r="L38" s="11"/>
      <c r="M38" s="12"/>
    </row>
    <row r="39" spans="3:13" ht="24.75" customHeight="1" x14ac:dyDescent="0.35">
      <c r="C39" s="30"/>
      <c r="D39" s="24" t="s">
        <v>24</v>
      </c>
      <c r="E39" s="25">
        <v>3000</v>
      </c>
      <c r="F39" s="26"/>
      <c r="G39" s="25"/>
      <c r="H39" s="25"/>
      <c r="I39" s="25"/>
      <c r="J39" s="27">
        <f t="shared" si="0"/>
        <v>3000</v>
      </c>
      <c r="K39" s="10">
        <v>252</v>
      </c>
      <c r="L39" s="11" t="e">
        <f>#REF!*K39</f>
        <v>#REF!</v>
      </c>
      <c r="M39" s="12" t="e">
        <f>+#REF!*8.64</f>
        <v>#REF!</v>
      </c>
    </row>
    <row r="40" spans="3:13" ht="24.75" customHeight="1" x14ac:dyDescent="0.35">
      <c r="C40" s="30"/>
      <c r="D40" s="24" t="s">
        <v>25</v>
      </c>
      <c r="E40" s="25"/>
      <c r="F40" s="26"/>
      <c r="G40" s="25"/>
      <c r="H40" s="25">
        <v>3000</v>
      </c>
      <c r="I40" s="25"/>
      <c r="J40" s="27">
        <f t="shared" si="0"/>
        <v>3000</v>
      </c>
      <c r="K40" s="10">
        <v>252</v>
      </c>
      <c r="L40" s="11" t="e">
        <f>#REF!*K40</f>
        <v>#REF!</v>
      </c>
      <c r="M40" s="12" t="e">
        <f>+#REF!*8.64</f>
        <v>#REF!</v>
      </c>
    </row>
    <row r="41" spans="3:13" ht="24.75" customHeight="1" x14ac:dyDescent="0.35">
      <c r="C41" s="30"/>
      <c r="D41" s="24" t="s">
        <v>28</v>
      </c>
      <c r="E41" s="25"/>
      <c r="F41" s="26"/>
      <c r="G41" s="25">
        <v>3000</v>
      </c>
      <c r="H41" s="25"/>
      <c r="I41" s="25"/>
      <c r="J41" s="27">
        <f t="shared" si="0"/>
        <v>3000</v>
      </c>
      <c r="K41" s="10"/>
      <c r="L41" s="11"/>
      <c r="M41" s="12"/>
    </row>
    <row r="42" spans="3:13" ht="24.75" customHeight="1" x14ac:dyDescent="0.35">
      <c r="C42" s="30"/>
      <c r="D42" s="24" t="s">
        <v>29</v>
      </c>
      <c r="E42" s="25"/>
      <c r="F42" s="26"/>
      <c r="G42" s="25"/>
      <c r="H42" s="25"/>
      <c r="I42" s="25"/>
      <c r="J42" s="27">
        <f t="shared" si="0"/>
        <v>0</v>
      </c>
      <c r="K42" s="10"/>
      <c r="L42" s="11"/>
      <c r="M42" s="12"/>
    </row>
    <row r="43" spans="3:13" ht="24.75" customHeight="1" x14ac:dyDescent="0.35">
      <c r="C43" s="30"/>
      <c r="D43" s="24" t="s">
        <v>32</v>
      </c>
      <c r="E43" s="25"/>
      <c r="F43" s="26"/>
      <c r="G43" s="25"/>
      <c r="H43" s="25">
        <v>2000</v>
      </c>
      <c r="I43" s="25"/>
      <c r="J43" s="27">
        <f t="shared" si="0"/>
        <v>2000</v>
      </c>
      <c r="K43" s="10"/>
      <c r="L43" s="11"/>
      <c r="M43" s="12"/>
    </row>
    <row r="44" spans="3:13" ht="24.75" customHeight="1" x14ac:dyDescent="0.35">
      <c r="C44" s="31"/>
      <c r="D44" s="24" t="s">
        <v>33</v>
      </c>
      <c r="E44" s="25"/>
      <c r="F44" s="26"/>
      <c r="G44" s="25"/>
      <c r="H44" s="25">
        <v>2000</v>
      </c>
      <c r="I44" s="25"/>
      <c r="J44" s="27">
        <f t="shared" si="0"/>
        <v>2000</v>
      </c>
      <c r="K44" s="10">
        <v>264</v>
      </c>
      <c r="L44" s="11" t="e">
        <f>#REF!*K44</f>
        <v>#REF!</v>
      </c>
      <c r="M44" s="12" t="e">
        <f>+#REF!*8.64</f>
        <v>#REF!</v>
      </c>
    </row>
    <row r="45" spans="3:13" x14ac:dyDescent="0.35">
      <c r="C45" s="2"/>
    </row>
    <row r="46" spans="3:13" x14ac:dyDescent="0.35">
      <c r="E46" s="6">
        <f t="shared" ref="E46:I46" si="1">SUM(E4:E45)</f>
        <v>24450</v>
      </c>
      <c r="F46" s="6">
        <f t="shared" si="1"/>
        <v>34100</v>
      </c>
      <c r="G46" s="6">
        <f t="shared" si="1"/>
        <v>25900</v>
      </c>
      <c r="H46" s="6">
        <f t="shared" si="1"/>
        <v>69300</v>
      </c>
      <c r="I46" s="6">
        <f t="shared" si="1"/>
        <v>17300</v>
      </c>
      <c r="J46" s="6">
        <f>SUM(J4:J45)</f>
        <v>171050</v>
      </c>
      <c r="K46" s="7">
        <f>SUM(K31:K45)</f>
        <v>1044</v>
      </c>
      <c r="L46" s="8" t="e">
        <f>SUM(L31:L45)</f>
        <v>#REF!</v>
      </c>
    </row>
  </sheetData>
  <mergeCells count="4">
    <mergeCell ref="C1:J2"/>
    <mergeCell ref="C4:C5"/>
    <mergeCell ref="C6:C27"/>
    <mergeCell ref="C28:C44"/>
  </mergeCells>
  <pageMargins left="0.24" right="0.16" top="0.26" bottom="0.24" header="0.22" footer="0.17"/>
  <pageSetup paperSize="9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1A56-5986-4E21-9316-EFEE8C60A971}">
  <dimension ref="A1:XQ46"/>
  <sheetViews>
    <sheetView tabSelected="1" zoomScale="80" zoomScaleNormal="80" workbookViewId="0">
      <pane ySplit="2" topLeftCell="A23" activePane="bottomLeft" state="frozen"/>
      <selection activeCell="A3" sqref="A3"/>
      <selection pane="bottomLeft" activeCell="F38" sqref="F38"/>
    </sheetView>
  </sheetViews>
  <sheetFormatPr defaultColWidth="9.109375" defaultRowHeight="17.399999999999999" x14ac:dyDescent="0.35"/>
  <cols>
    <col min="1" max="2" width="0.109375" style="1" customWidth="1"/>
    <col min="3" max="3" width="11" style="1" customWidth="1"/>
    <col min="4" max="4" width="34.44140625" style="1" customWidth="1"/>
    <col min="5" max="8" width="22.5546875" style="4" customWidth="1"/>
    <col min="9" max="9" width="23.109375" style="4" hidden="1" customWidth="1"/>
    <col min="10" max="10" width="13.5546875" style="5" customWidth="1"/>
    <col min="11" max="11" width="15.44140625" style="7" hidden="1" customWidth="1"/>
    <col min="12" max="12" width="10.88671875" style="1" hidden="1" customWidth="1"/>
    <col min="13" max="13" width="14.109375" style="9" hidden="1" customWidth="1"/>
    <col min="14" max="15" width="0" style="1" hidden="1" customWidth="1"/>
    <col min="16" max="16384" width="9.109375" style="1"/>
  </cols>
  <sheetData>
    <row r="1" spans="1:641" ht="56.4" customHeight="1" x14ac:dyDescent="0.35">
      <c r="C1" s="38" t="s">
        <v>45</v>
      </c>
      <c r="D1" s="39"/>
      <c r="E1" s="39"/>
      <c r="F1" s="39"/>
      <c r="G1" s="39"/>
      <c r="H1" s="39"/>
      <c r="I1" s="39"/>
      <c r="J1" s="39"/>
    </row>
    <row r="2" spans="1:641" s="14" customFormat="1" ht="61.5" customHeight="1" x14ac:dyDescent="0.3">
      <c r="A2" s="17"/>
      <c r="B2" s="17"/>
      <c r="C2" s="19"/>
      <c r="D2" s="20" t="s">
        <v>3</v>
      </c>
      <c r="E2" s="21" t="s">
        <v>46</v>
      </c>
      <c r="F2" s="21" t="s">
        <v>47</v>
      </c>
      <c r="G2" s="21" t="s">
        <v>48</v>
      </c>
      <c r="H2" s="21" t="s">
        <v>49</v>
      </c>
      <c r="I2" s="21"/>
      <c r="J2" s="21" t="s">
        <v>4</v>
      </c>
      <c r="K2" s="16"/>
      <c r="L2" s="15"/>
      <c r="M2" s="13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</row>
    <row r="3" spans="1:641" ht="24.75" customHeight="1" x14ac:dyDescent="0.35">
      <c r="C3" s="34" t="s">
        <v>2</v>
      </c>
      <c r="D3" s="24" t="s">
        <v>10</v>
      </c>
      <c r="E3" s="26">
        <v>2500</v>
      </c>
      <c r="F3" s="26"/>
      <c r="G3" s="26">
        <v>2500</v>
      </c>
      <c r="H3" s="26">
        <v>2500</v>
      </c>
      <c r="I3" s="26"/>
      <c r="J3" s="27">
        <f>SUM(E3:I3)</f>
        <v>7500</v>
      </c>
      <c r="K3" s="10">
        <v>178</v>
      </c>
      <c r="L3" s="11" t="e">
        <f>#REF!*K3</f>
        <v>#REF!</v>
      </c>
      <c r="M3" s="12"/>
    </row>
    <row r="4" spans="1:641" ht="24.75" customHeight="1" x14ac:dyDescent="0.35">
      <c r="C4" s="34"/>
      <c r="D4" s="24" t="s">
        <v>11</v>
      </c>
      <c r="E4" s="25">
        <v>2950</v>
      </c>
      <c r="F4" s="26">
        <v>2950</v>
      </c>
      <c r="G4" s="25">
        <v>2950</v>
      </c>
      <c r="H4" s="25">
        <v>5900</v>
      </c>
      <c r="I4" s="25"/>
      <c r="J4" s="27">
        <f t="shared" ref="J4:J44" si="0">SUM(E4:I4)</f>
        <v>14750</v>
      </c>
      <c r="K4" s="10"/>
      <c r="L4" s="11" t="e">
        <f>#REF!*K4</f>
        <v>#REF!</v>
      </c>
      <c r="M4" s="12"/>
    </row>
    <row r="5" spans="1:641" ht="24.75" customHeight="1" x14ac:dyDescent="0.35">
      <c r="C5" s="35" t="s">
        <v>0</v>
      </c>
      <c r="D5" s="24" t="s">
        <v>36</v>
      </c>
      <c r="E5" s="25"/>
      <c r="F5" s="26"/>
      <c r="G5" s="25"/>
      <c r="H5" s="25"/>
      <c r="I5" s="25"/>
      <c r="J5" s="27">
        <f t="shared" si="0"/>
        <v>0</v>
      </c>
      <c r="K5" s="10"/>
      <c r="L5" s="11"/>
      <c r="M5" s="12"/>
    </row>
    <row r="6" spans="1:641" ht="24.75" customHeight="1" x14ac:dyDescent="0.35">
      <c r="C6" s="36"/>
      <c r="D6" s="24" t="s">
        <v>35</v>
      </c>
      <c r="E6" s="25"/>
      <c r="F6" s="26"/>
      <c r="G6" s="25"/>
      <c r="H6" s="25"/>
      <c r="I6" s="25"/>
      <c r="J6" s="27">
        <f t="shared" si="0"/>
        <v>0</v>
      </c>
      <c r="K6" s="10"/>
      <c r="L6" s="11"/>
      <c r="M6" s="12"/>
    </row>
    <row r="7" spans="1:641" ht="24.75" customHeight="1" x14ac:dyDescent="0.35">
      <c r="C7" s="36"/>
      <c r="D7" s="24" t="s">
        <v>12</v>
      </c>
      <c r="E7" s="25">
        <v>4000</v>
      </c>
      <c r="F7" s="26">
        <v>4000</v>
      </c>
      <c r="G7" s="25">
        <v>4000</v>
      </c>
      <c r="H7" s="25">
        <v>4000</v>
      </c>
      <c r="I7" s="25"/>
      <c r="J7" s="27">
        <f t="shared" si="0"/>
        <v>16000</v>
      </c>
      <c r="K7" s="10">
        <v>192</v>
      </c>
      <c r="L7" s="11" t="e">
        <f>#REF!*K7</f>
        <v>#REF!</v>
      </c>
      <c r="M7" s="12" t="e">
        <f>+#REF!*5.28</f>
        <v>#REF!</v>
      </c>
    </row>
    <row r="8" spans="1:641" ht="24.75" customHeight="1" x14ac:dyDescent="0.35">
      <c r="C8" s="36"/>
      <c r="D8" s="24" t="s">
        <v>14</v>
      </c>
      <c r="E8" s="25"/>
      <c r="F8" s="26"/>
      <c r="G8" s="25"/>
      <c r="H8" s="25"/>
      <c r="I8" s="25"/>
      <c r="J8" s="27">
        <f t="shared" si="0"/>
        <v>0</v>
      </c>
      <c r="K8" s="10"/>
      <c r="L8" s="11"/>
      <c r="M8" s="12"/>
    </row>
    <row r="9" spans="1:641" ht="24.75" customHeight="1" x14ac:dyDescent="0.35">
      <c r="C9" s="36"/>
      <c r="D9" s="24" t="s">
        <v>15</v>
      </c>
      <c r="E9" s="25"/>
      <c r="F9" s="26">
        <v>2500</v>
      </c>
      <c r="G9" s="25"/>
      <c r="H9" s="25"/>
      <c r="I9" s="25"/>
      <c r="J9" s="27">
        <f t="shared" si="0"/>
        <v>2500</v>
      </c>
      <c r="K9" s="10">
        <v>192</v>
      </c>
      <c r="L9" s="11" t="e">
        <f>#REF!*K9</f>
        <v>#REF!</v>
      </c>
      <c r="M9" s="12" t="e">
        <f>+#REF!*5.28</f>
        <v>#REF!</v>
      </c>
    </row>
    <row r="10" spans="1:641" ht="24.75" customHeight="1" x14ac:dyDescent="0.35">
      <c r="C10" s="36"/>
      <c r="D10" s="24" t="s">
        <v>16</v>
      </c>
      <c r="E10" s="25"/>
      <c r="F10" s="26">
        <v>2500</v>
      </c>
      <c r="G10" s="25">
        <v>3000</v>
      </c>
      <c r="H10" s="25"/>
      <c r="I10" s="25"/>
      <c r="J10" s="27">
        <f t="shared" si="0"/>
        <v>5500</v>
      </c>
      <c r="K10" s="10">
        <v>180</v>
      </c>
      <c r="L10" s="11" t="e">
        <f>#REF!*K10</f>
        <v>#REF!</v>
      </c>
      <c r="M10" s="12" t="e">
        <f>+#REF!*5.28</f>
        <v>#REF!</v>
      </c>
    </row>
    <row r="11" spans="1:641" ht="24.75" customHeight="1" x14ac:dyDescent="0.35">
      <c r="C11" s="36"/>
      <c r="D11" s="24" t="s">
        <v>17</v>
      </c>
      <c r="E11" s="25"/>
      <c r="F11" s="26"/>
      <c r="G11" s="25"/>
      <c r="H11" s="25"/>
      <c r="I11" s="25"/>
      <c r="J11" s="27">
        <f t="shared" si="0"/>
        <v>0</v>
      </c>
      <c r="K11" s="10">
        <v>180</v>
      </c>
      <c r="L11" s="11" t="e">
        <f>#REF!*K11</f>
        <v>#REF!</v>
      </c>
      <c r="M11" s="12" t="e">
        <f>+#REF!*5.28</f>
        <v>#REF!</v>
      </c>
    </row>
    <row r="12" spans="1:641" ht="24.75" customHeight="1" x14ac:dyDescent="0.35">
      <c r="C12" s="36"/>
      <c r="D12" s="24" t="s">
        <v>18</v>
      </c>
      <c r="E12" s="25"/>
      <c r="F12" s="26"/>
      <c r="G12" s="25"/>
      <c r="H12" s="25"/>
      <c r="I12" s="25"/>
      <c r="J12" s="27">
        <f t="shared" si="0"/>
        <v>0</v>
      </c>
      <c r="K12" s="10">
        <v>154</v>
      </c>
      <c r="L12" s="11" t="e">
        <f>#REF!*K12</f>
        <v>#REF!</v>
      </c>
      <c r="M12" s="12" t="e">
        <f>+#REF!*5.28</f>
        <v>#REF!</v>
      </c>
    </row>
    <row r="13" spans="1:641" ht="24.75" customHeight="1" x14ac:dyDescent="0.35">
      <c r="C13" s="36"/>
      <c r="D13" s="24" t="s">
        <v>19</v>
      </c>
      <c r="E13" s="25"/>
      <c r="F13" s="26"/>
      <c r="G13" s="25"/>
      <c r="H13" s="25"/>
      <c r="I13" s="25"/>
      <c r="J13" s="27">
        <f t="shared" si="0"/>
        <v>0</v>
      </c>
      <c r="K13" s="10">
        <v>154</v>
      </c>
      <c r="L13" s="11" t="e">
        <f>#REF!*K13</f>
        <v>#REF!</v>
      </c>
      <c r="M13" s="12" t="e">
        <f>+#REF!*5.28</f>
        <v>#REF!</v>
      </c>
    </row>
    <row r="14" spans="1:641" ht="24.75" customHeight="1" x14ac:dyDescent="0.35">
      <c r="C14" s="36"/>
      <c r="D14" s="24" t="s">
        <v>20</v>
      </c>
      <c r="E14" s="25"/>
      <c r="F14" s="26"/>
      <c r="G14" s="25"/>
      <c r="H14" s="25"/>
      <c r="I14" s="25"/>
      <c r="J14" s="27">
        <f t="shared" si="0"/>
        <v>0</v>
      </c>
      <c r="K14" s="10">
        <v>154</v>
      </c>
      <c r="L14" s="11" t="e">
        <f>#REF!*K14</f>
        <v>#REF!</v>
      </c>
      <c r="M14" s="12" t="e">
        <f>+#REF!*5.28</f>
        <v>#REF!</v>
      </c>
    </row>
    <row r="15" spans="1:641" ht="24.75" customHeight="1" x14ac:dyDescent="0.35">
      <c r="C15" s="36"/>
      <c r="D15" s="24" t="s">
        <v>21</v>
      </c>
      <c r="E15" s="25"/>
      <c r="F15" s="26"/>
      <c r="G15" s="25"/>
      <c r="H15" s="25"/>
      <c r="I15" s="25"/>
      <c r="J15" s="27">
        <f t="shared" si="0"/>
        <v>0</v>
      </c>
      <c r="K15" s="10">
        <v>154</v>
      </c>
      <c r="L15" s="11" t="e">
        <f>#REF!*K15</f>
        <v>#REF!</v>
      </c>
      <c r="M15" s="12" t="e">
        <f>+#REF!*5.28</f>
        <v>#REF!</v>
      </c>
    </row>
    <row r="16" spans="1:641" ht="24.75" customHeight="1" x14ac:dyDescent="0.35">
      <c r="C16" s="36"/>
      <c r="D16" s="24" t="s">
        <v>22</v>
      </c>
      <c r="E16" s="25"/>
      <c r="F16" s="26"/>
      <c r="G16" s="25"/>
      <c r="H16" s="25"/>
      <c r="I16" s="25"/>
      <c r="J16" s="27">
        <f t="shared" si="0"/>
        <v>0</v>
      </c>
      <c r="K16" s="10">
        <v>186</v>
      </c>
      <c r="L16" s="11" t="e">
        <f>#REF!*K16</f>
        <v>#REF!</v>
      </c>
      <c r="M16" s="12" t="e">
        <f>+#REF!*5.28</f>
        <v>#REF!</v>
      </c>
    </row>
    <row r="17" spans="3:13" ht="24.75" customHeight="1" x14ac:dyDescent="0.35">
      <c r="C17" s="36"/>
      <c r="D17" s="24" t="s">
        <v>23</v>
      </c>
      <c r="E17" s="25"/>
      <c r="F17" s="26"/>
      <c r="G17" s="25"/>
      <c r="H17" s="25"/>
      <c r="I17" s="25"/>
      <c r="J17" s="27">
        <f t="shared" si="0"/>
        <v>0</v>
      </c>
      <c r="K17" s="10"/>
      <c r="L17" s="11"/>
      <c r="M17" s="12"/>
    </row>
    <row r="18" spans="3:13" ht="24.75" customHeight="1" x14ac:dyDescent="0.35">
      <c r="C18" s="36"/>
      <c r="D18" s="24" t="s">
        <v>24</v>
      </c>
      <c r="E18" s="25"/>
      <c r="F18" s="26"/>
      <c r="G18" s="25"/>
      <c r="H18" s="25">
        <v>4000</v>
      </c>
      <c r="I18" s="25"/>
      <c r="J18" s="27">
        <f t="shared" si="0"/>
        <v>4000</v>
      </c>
      <c r="K18" s="10"/>
      <c r="L18" s="11"/>
      <c r="M18" s="12"/>
    </row>
    <row r="19" spans="3:13" ht="24.75" customHeight="1" x14ac:dyDescent="0.35">
      <c r="C19" s="36"/>
      <c r="D19" s="24" t="s">
        <v>25</v>
      </c>
      <c r="E19" s="25"/>
      <c r="F19" s="26"/>
      <c r="G19" s="25">
        <v>6000</v>
      </c>
      <c r="H19" s="25">
        <v>3000</v>
      </c>
      <c r="I19" s="25"/>
      <c r="J19" s="27">
        <f t="shared" si="0"/>
        <v>9000</v>
      </c>
      <c r="K19" s="10"/>
      <c r="L19" s="11"/>
      <c r="M19" s="12"/>
    </row>
    <row r="20" spans="3:13" ht="24.75" customHeight="1" x14ac:dyDescent="0.35">
      <c r="C20" s="36"/>
      <c r="D20" s="24" t="s">
        <v>26</v>
      </c>
      <c r="E20" s="25"/>
      <c r="F20" s="26"/>
      <c r="G20" s="25"/>
      <c r="H20" s="25"/>
      <c r="I20" s="25"/>
      <c r="J20" s="27">
        <f t="shared" si="0"/>
        <v>0</v>
      </c>
      <c r="K20" s="10"/>
      <c r="L20" s="11"/>
      <c r="M20" s="12"/>
    </row>
    <row r="21" spans="3:13" ht="24.75" customHeight="1" x14ac:dyDescent="0.35">
      <c r="C21" s="36"/>
      <c r="D21" s="24" t="s">
        <v>27</v>
      </c>
      <c r="E21" s="25"/>
      <c r="F21" s="26"/>
      <c r="G21" s="25"/>
      <c r="H21" s="25"/>
      <c r="I21" s="25"/>
      <c r="J21" s="27">
        <f t="shared" si="0"/>
        <v>0</v>
      </c>
      <c r="K21" s="10"/>
      <c r="L21" s="11"/>
      <c r="M21" s="12"/>
    </row>
    <row r="22" spans="3:13" ht="24.75" customHeight="1" x14ac:dyDescent="0.35">
      <c r="C22" s="36"/>
      <c r="D22" s="24" t="s">
        <v>43</v>
      </c>
      <c r="E22" s="25"/>
      <c r="F22" s="26">
        <v>5000</v>
      </c>
      <c r="G22" s="25">
        <v>3000</v>
      </c>
      <c r="H22" s="25"/>
      <c r="I22" s="25"/>
      <c r="J22" s="27">
        <f t="shared" si="0"/>
        <v>8000</v>
      </c>
      <c r="K22" s="10"/>
      <c r="L22" s="11"/>
      <c r="M22" s="12"/>
    </row>
    <row r="23" spans="3:13" ht="24.75" customHeight="1" x14ac:dyDescent="0.35">
      <c r="C23" s="36"/>
      <c r="D23" s="24" t="s">
        <v>31</v>
      </c>
      <c r="E23" s="25"/>
      <c r="F23" s="26"/>
      <c r="G23" s="25"/>
      <c r="H23" s="25">
        <v>5000</v>
      </c>
      <c r="I23" s="25"/>
      <c r="J23" s="27">
        <f t="shared" si="0"/>
        <v>5000</v>
      </c>
      <c r="K23" s="10"/>
      <c r="L23" s="11"/>
      <c r="M23" s="12"/>
    </row>
    <row r="24" spans="3:13" ht="24.75" customHeight="1" x14ac:dyDescent="0.35">
      <c r="C24" s="36"/>
      <c r="D24" s="24" t="s">
        <v>32</v>
      </c>
      <c r="E24" s="25"/>
      <c r="F24" s="26"/>
      <c r="G24" s="25"/>
      <c r="H24" s="25">
        <v>3000</v>
      </c>
      <c r="I24" s="25"/>
      <c r="J24" s="27">
        <f t="shared" si="0"/>
        <v>3000</v>
      </c>
      <c r="K24" s="10"/>
      <c r="L24" s="11"/>
      <c r="M24" s="12"/>
    </row>
    <row r="25" spans="3:13" ht="24.75" customHeight="1" x14ac:dyDescent="0.35">
      <c r="C25" s="36"/>
      <c r="D25" s="24" t="s">
        <v>33</v>
      </c>
      <c r="E25" s="25"/>
      <c r="F25" s="26"/>
      <c r="G25" s="25">
        <v>4000</v>
      </c>
      <c r="H25" s="25">
        <v>2000</v>
      </c>
      <c r="I25" s="25"/>
      <c r="J25" s="27">
        <f t="shared" si="0"/>
        <v>6000</v>
      </c>
      <c r="K25" s="10"/>
      <c r="L25" s="11"/>
      <c r="M25" s="12"/>
    </row>
    <row r="26" spans="3:13" ht="24.75" customHeight="1" x14ac:dyDescent="0.35">
      <c r="C26" s="36"/>
      <c r="D26" s="24" t="s">
        <v>34</v>
      </c>
      <c r="E26" s="25"/>
      <c r="F26" s="26"/>
      <c r="G26" s="25">
        <v>4000</v>
      </c>
      <c r="H26" s="25"/>
      <c r="I26" s="25"/>
      <c r="J26" s="27">
        <f t="shared" si="0"/>
        <v>4000</v>
      </c>
      <c r="K26" s="10"/>
      <c r="L26" s="11"/>
      <c r="M26" s="12"/>
    </row>
    <row r="27" spans="3:13" ht="24.75" customHeight="1" x14ac:dyDescent="0.35">
      <c r="C27" s="37"/>
      <c r="D27" s="24" t="s">
        <v>50</v>
      </c>
      <c r="E27" s="25"/>
      <c r="F27" s="26"/>
      <c r="G27" s="25">
        <v>4400</v>
      </c>
      <c r="H27" s="25"/>
      <c r="I27" s="25"/>
      <c r="J27" s="27"/>
      <c r="K27" s="10"/>
      <c r="L27" s="11"/>
      <c r="M27" s="12"/>
    </row>
    <row r="28" spans="3:13" ht="24.75" customHeight="1" x14ac:dyDescent="0.35">
      <c r="C28" s="29" t="s">
        <v>1</v>
      </c>
      <c r="D28" s="24" t="s">
        <v>36</v>
      </c>
      <c r="E28" s="25"/>
      <c r="F28" s="26"/>
      <c r="G28" s="25"/>
      <c r="H28" s="25"/>
      <c r="I28" s="25"/>
      <c r="J28" s="27">
        <f t="shared" si="0"/>
        <v>0</v>
      </c>
      <c r="K28" s="10"/>
      <c r="L28" s="11"/>
      <c r="M28" s="12"/>
    </row>
    <row r="29" spans="3:13" ht="24.75" customHeight="1" x14ac:dyDescent="0.35">
      <c r="C29" s="30"/>
      <c r="D29" s="24" t="s">
        <v>35</v>
      </c>
      <c r="E29" s="25"/>
      <c r="F29" s="26"/>
      <c r="G29" s="25"/>
      <c r="H29" s="25"/>
      <c r="I29" s="25"/>
      <c r="J29" s="27">
        <f t="shared" si="0"/>
        <v>0</v>
      </c>
      <c r="K29" s="10"/>
      <c r="L29" s="11"/>
      <c r="M29" s="12"/>
    </row>
    <row r="30" spans="3:13" ht="24.75" customHeight="1" x14ac:dyDescent="0.35">
      <c r="C30" s="30"/>
      <c r="D30" s="24" t="s">
        <v>44</v>
      </c>
      <c r="E30" s="25"/>
      <c r="F30" s="26"/>
      <c r="G30" s="25"/>
      <c r="H30" s="25"/>
      <c r="I30" s="25"/>
      <c r="J30" s="27">
        <f t="shared" si="0"/>
        <v>0</v>
      </c>
      <c r="K30" s="10"/>
      <c r="L30" s="11"/>
      <c r="M30" s="12"/>
    </row>
    <row r="31" spans="3:13" ht="24.75" customHeight="1" x14ac:dyDescent="0.35">
      <c r="C31" s="30"/>
      <c r="D31" s="24" t="s">
        <v>13</v>
      </c>
      <c r="E31" s="25">
        <v>1850</v>
      </c>
      <c r="F31" s="26"/>
      <c r="G31" s="25">
        <v>1850</v>
      </c>
      <c r="H31" s="25">
        <v>1850</v>
      </c>
      <c r="I31" s="25"/>
      <c r="J31" s="27">
        <f t="shared" si="0"/>
        <v>5550</v>
      </c>
      <c r="K31" s="10">
        <v>276</v>
      </c>
      <c r="L31" s="18" t="e">
        <f>#REF!*K31</f>
        <v>#REF!</v>
      </c>
      <c r="M31" s="12" t="e">
        <f>+#REF!*8.64</f>
        <v>#REF!</v>
      </c>
    </row>
    <row r="32" spans="3:13" ht="24.75" customHeight="1" x14ac:dyDescent="0.35">
      <c r="C32" s="30"/>
      <c r="D32" s="24" t="s">
        <v>15</v>
      </c>
      <c r="E32" s="25"/>
      <c r="F32" s="26">
        <v>2400</v>
      </c>
      <c r="G32" s="25"/>
      <c r="H32" s="25"/>
      <c r="I32" s="25"/>
      <c r="J32" s="27">
        <f t="shared" si="0"/>
        <v>2400</v>
      </c>
      <c r="K32" s="10"/>
      <c r="L32" s="11"/>
      <c r="M32" s="12"/>
    </row>
    <row r="33" spans="3:13" ht="24.75" customHeight="1" x14ac:dyDescent="0.35">
      <c r="C33" s="30"/>
      <c r="D33" s="24" t="s">
        <v>16</v>
      </c>
      <c r="E33" s="25"/>
      <c r="F33" s="26"/>
      <c r="G33" s="25"/>
      <c r="H33" s="25"/>
      <c r="I33" s="25"/>
      <c r="J33" s="27">
        <f t="shared" si="0"/>
        <v>0</v>
      </c>
      <c r="K33" s="10"/>
      <c r="L33" s="11"/>
      <c r="M33" s="12"/>
    </row>
    <row r="34" spans="3:13" ht="24.75" customHeight="1" x14ac:dyDescent="0.35">
      <c r="C34" s="30"/>
      <c r="D34" s="24" t="s">
        <v>17</v>
      </c>
      <c r="E34" s="25"/>
      <c r="F34" s="26">
        <v>2000</v>
      </c>
      <c r="G34" s="25"/>
      <c r="H34" s="25"/>
      <c r="I34" s="25"/>
      <c r="J34" s="27">
        <f t="shared" si="0"/>
        <v>2000</v>
      </c>
      <c r="K34" s="10"/>
      <c r="L34" s="11"/>
      <c r="M34" s="12"/>
    </row>
    <row r="35" spans="3:13" ht="24.75" customHeight="1" x14ac:dyDescent="0.35">
      <c r="C35" s="30"/>
      <c r="D35" s="24" t="s">
        <v>20</v>
      </c>
      <c r="E35" s="25"/>
      <c r="F35" s="26"/>
      <c r="G35" s="25"/>
      <c r="H35" s="25"/>
      <c r="I35" s="25"/>
      <c r="J35" s="27">
        <f t="shared" si="0"/>
        <v>0</v>
      </c>
      <c r="K35" s="10"/>
      <c r="L35" s="11"/>
      <c r="M35" s="12"/>
    </row>
    <row r="36" spans="3:13" ht="24.75" customHeight="1" x14ac:dyDescent="0.35">
      <c r="C36" s="30"/>
      <c r="D36" s="24" t="s">
        <v>21</v>
      </c>
      <c r="E36" s="25"/>
      <c r="F36" s="26"/>
      <c r="G36" s="25"/>
      <c r="H36" s="25"/>
      <c r="I36" s="25"/>
      <c r="J36" s="27">
        <f t="shared" si="0"/>
        <v>0</v>
      </c>
      <c r="K36" s="10"/>
      <c r="L36" s="11"/>
      <c r="M36" s="12"/>
    </row>
    <row r="37" spans="3:13" ht="24.75" customHeight="1" x14ac:dyDescent="0.35">
      <c r="C37" s="30"/>
      <c r="D37" s="24" t="s">
        <v>22</v>
      </c>
      <c r="E37" s="25"/>
      <c r="F37" s="26"/>
      <c r="G37" s="25"/>
      <c r="H37" s="25"/>
      <c r="I37" s="25"/>
      <c r="J37" s="27">
        <f t="shared" si="0"/>
        <v>0</v>
      </c>
      <c r="K37" s="10"/>
      <c r="L37" s="11"/>
      <c r="M37" s="12"/>
    </row>
    <row r="38" spans="3:13" ht="24.75" customHeight="1" x14ac:dyDescent="0.35">
      <c r="C38" s="30"/>
      <c r="D38" s="24" t="s">
        <v>23</v>
      </c>
      <c r="E38" s="25"/>
      <c r="F38" s="26"/>
      <c r="G38" s="25"/>
      <c r="H38" s="25"/>
      <c r="I38" s="25"/>
      <c r="J38" s="27">
        <f t="shared" si="0"/>
        <v>0</v>
      </c>
      <c r="K38" s="10"/>
      <c r="L38" s="11"/>
      <c r="M38" s="12"/>
    </row>
    <row r="39" spans="3:13" ht="24.75" customHeight="1" x14ac:dyDescent="0.35">
      <c r="C39" s="30"/>
      <c r="D39" s="24" t="s">
        <v>24</v>
      </c>
      <c r="E39" s="25"/>
      <c r="F39" s="26"/>
      <c r="G39" s="25"/>
      <c r="H39" s="25">
        <v>2000</v>
      </c>
      <c r="I39" s="25"/>
      <c r="J39" s="27">
        <f t="shared" si="0"/>
        <v>2000</v>
      </c>
      <c r="K39" s="10">
        <v>252</v>
      </c>
      <c r="L39" s="11" t="e">
        <f>#REF!*K39</f>
        <v>#REF!</v>
      </c>
      <c r="M39" s="12" t="e">
        <f>+#REF!*8.64</f>
        <v>#REF!</v>
      </c>
    </row>
    <row r="40" spans="3:13" ht="24.75" customHeight="1" x14ac:dyDescent="0.35">
      <c r="C40" s="30"/>
      <c r="D40" s="24" t="s">
        <v>25</v>
      </c>
      <c r="E40" s="25"/>
      <c r="F40" s="26"/>
      <c r="G40" s="25">
        <v>3000</v>
      </c>
      <c r="H40" s="25">
        <v>2000</v>
      </c>
      <c r="I40" s="25"/>
      <c r="J40" s="27">
        <f t="shared" si="0"/>
        <v>5000</v>
      </c>
      <c r="K40" s="10">
        <v>252</v>
      </c>
      <c r="L40" s="11" t="e">
        <f>#REF!*K40</f>
        <v>#REF!</v>
      </c>
      <c r="M40" s="12" t="e">
        <f>+#REF!*8.64</f>
        <v>#REF!</v>
      </c>
    </row>
    <row r="41" spans="3:13" ht="24.75" customHeight="1" x14ac:dyDescent="0.35">
      <c r="C41" s="30"/>
      <c r="D41" s="24" t="s">
        <v>28</v>
      </c>
      <c r="E41" s="25"/>
      <c r="F41" s="26"/>
      <c r="G41" s="25"/>
      <c r="H41" s="25"/>
      <c r="I41" s="25"/>
      <c r="J41" s="27">
        <f t="shared" si="0"/>
        <v>0</v>
      </c>
      <c r="K41" s="10"/>
      <c r="L41" s="11"/>
      <c r="M41" s="12"/>
    </row>
    <row r="42" spans="3:13" ht="24.75" customHeight="1" x14ac:dyDescent="0.35">
      <c r="C42" s="30"/>
      <c r="D42" s="24" t="s">
        <v>29</v>
      </c>
      <c r="E42" s="25"/>
      <c r="F42" s="26"/>
      <c r="G42" s="25">
        <v>3000</v>
      </c>
      <c r="H42" s="25"/>
      <c r="I42" s="25"/>
      <c r="J42" s="27">
        <f t="shared" si="0"/>
        <v>3000</v>
      </c>
      <c r="K42" s="10"/>
      <c r="L42" s="11"/>
      <c r="M42" s="12"/>
    </row>
    <row r="43" spans="3:13" ht="24.75" customHeight="1" x14ac:dyDescent="0.35">
      <c r="C43" s="30"/>
      <c r="D43" s="24" t="s">
        <v>32</v>
      </c>
      <c r="E43" s="25"/>
      <c r="F43" s="26"/>
      <c r="G43" s="25"/>
      <c r="H43" s="25"/>
      <c r="I43" s="25"/>
      <c r="J43" s="27">
        <f t="shared" si="0"/>
        <v>0</v>
      </c>
      <c r="K43" s="10"/>
      <c r="L43" s="11"/>
      <c r="M43" s="12"/>
    </row>
    <row r="44" spans="3:13" ht="24.75" customHeight="1" x14ac:dyDescent="0.35">
      <c r="C44" s="31"/>
      <c r="D44" s="24" t="s">
        <v>33</v>
      </c>
      <c r="E44" s="25"/>
      <c r="F44" s="26"/>
      <c r="G44" s="25">
        <v>2000</v>
      </c>
      <c r="H44" s="25"/>
      <c r="I44" s="25"/>
      <c r="J44" s="27">
        <f t="shared" si="0"/>
        <v>2000</v>
      </c>
      <c r="K44" s="10">
        <v>264</v>
      </c>
      <c r="L44" s="11" t="e">
        <f>#REF!*K44</f>
        <v>#REF!</v>
      </c>
      <c r="M44" s="12" t="e">
        <f>+#REF!*8.64</f>
        <v>#REF!</v>
      </c>
    </row>
    <row r="45" spans="3:13" x14ac:dyDescent="0.35">
      <c r="C45" s="2"/>
    </row>
    <row r="46" spans="3:13" x14ac:dyDescent="0.35">
      <c r="E46" s="6">
        <f t="shared" ref="E46:I46" si="1">SUM(E3:E45)</f>
        <v>11300</v>
      </c>
      <c r="F46" s="6">
        <f t="shared" si="1"/>
        <v>21350</v>
      </c>
      <c r="G46" s="6">
        <f t="shared" si="1"/>
        <v>43700</v>
      </c>
      <c r="H46" s="6">
        <f t="shared" si="1"/>
        <v>35250</v>
      </c>
      <c r="I46" s="6">
        <f t="shared" si="1"/>
        <v>0</v>
      </c>
      <c r="J46" s="6">
        <f>SUM(J3:J45)</f>
        <v>107200</v>
      </c>
      <c r="K46" s="7">
        <f>SUM(K31:K45)</f>
        <v>1044</v>
      </c>
      <c r="L46" s="8" t="e">
        <f>SUM(L31:L45)</f>
        <v>#REF!</v>
      </c>
    </row>
  </sheetData>
  <mergeCells count="4">
    <mergeCell ref="C1:J1"/>
    <mergeCell ref="C3:C4"/>
    <mergeCell ref="C28:C44"/>
    <mergeCell ref="C5:C27"/>
  </mergeCells>
  <pageMargins left="0.24" right="0.16" top="0.26" bottom="0.24" header="0.22" footer="0.17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T11</vt:lpstr>
      <vt:lpstr>T12</vt:lpstr>
      <vt:lpstr>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2025-10-31T07:57:31Z</cp:lastPrinted>
  <dcterms:created xsi:type="dcterms:W3CDTF">2019-11-20T01:54:38Z</dcterms:created>
  <dcterms:modified xsi:type="dcterms:W3CDTF">2026-01-07T07:59:00Z</dcterms:modified>
</cp:coreProperties>
</file>